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코어1_산출물" sheetId="1" state="visible" r:id="rId1"/>
    <sheet xmlns:r="http://schemas.openxmlformats.org/officeDocument/2006/relationships" name="코어1_구현작업" sheetId="2" state="visible" r:id="rId2"/>
    <sheet xmlns:r="http://schemas.openxmlformats.org/officeDocument/2006/relationships" name="코어1_DoD" sheetId="3" state="visible" r:id="rId3"/>
  </sheets>
  <definedNames>
    <definedName name="_xlnm._FilterDatabase" localSheetId="0" hidden="1">'코어1_산출물'!$A$1:$J$1</definedName>
    <definedName name="_xlnm._FilterDatabase" localSheetId="1" hidden="1">'코어1_구현작업'!$A$1:$G$1</definedName>
    <definedName name="_xlnm._FilterDatabase" localSheetId="2" hidden="1">'코어1_DoD'!$A$1:$F$1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sz val="10"/>
    </font>
    <font>
      <name val="맑은 고딕"/>
      <b val="1"/>
      <sz val="9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EEEEEE"/>
      </patternFill>
    </fill>
    <fill>
      <patternFill patternType="solid">
        <fgColor rgb="00FFF6D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49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34" customWidth="1" min="3" max="3"/>
    <col width="9" customWidth="1" min="4" max="4"/>
    <col width="9" customWidth="1" min="5" max="5"/>
    <col width="46" customWidth="1" min="6" max="6"/>
    <col width="8" customWidth="1" min="7" max="7"/>
    <col width="12" customWidth="1" min="8" max="8"/>
    <col width="12" customWidth="1" min="9" max="9"/>
    <col width="10" customWidth="1" min="10" max="10"/>
  </cols>
  <sheetData>
    <row r="1">
      <c r="A1" s="1" t="inlineStr">
        <is>
          <t>Task ID</t>
        </is>
      </c>
      <c r="B1" s="1" t="inlineStr">
        <is>
          <t>주요 업무</t>
        </is>
      </c>
      <c r="C1" s="1" t="inlineStr">
        <is>
          <t>세부 업무</t>
        </is>
      </c>
      <c r="D1" s="1" t="inlineStr">
        <is>
          <t>담당자</t>
        </is>
      </c>
      <c r="E1" s="1" t="inlineStr">
        <is>
          <t>역할</t>
        </is>
      </c>
      <c r="F1" s="1" t="inlineStr">
        <is>
          <t>코어 1이 쓰는 내용</t>
        </is>
      </c>
      <c r="G1" s="1" t="inlineStr">
        <is>
          <t>상태</t>
        </is>
      </c>
      <c r="H1" s="1" t="inlineStr">
        <is>
          <t>시작일</t>
        </is>
      </c>
      <c r="I1" s="1" t="inlineStr">
        <is>
          <t>마감일</t>
        </is>
      </c>
      <c r="J1" s="1" t="inlineStr">
        <is>
          <t>우선순위</t>
        </is>
      </c>
    </row>
    <row r="2">
      <c r="A2" s="2" t="inlineStr">
        <is>
          <t>001</t>
        </is>
      </c>
      <c r="B2" s="3" t="inlineStr">
        <is>
          <t>기획</t>
        </is>
      </c>
      <c r="C2" s="3" t="inlineStr">
        <is>
          <t>WBS 작성</t>
        </is>
      </c>
      <c r="D2" s="3" t="inlineStr">
        <is>
          <t>전체</t>
        </is>
      </c>
      <c r="E2" s="3" t="inlineStr">
        <is>
          <t>참여</t>
        </is>
      </c>
      <c r="F2" s="3" t="inlineStr">
        <is>
          <t>코어 1 작업 항목과 주차 배분</t>
        </is>
      </c>
      <c r="G2" s="3" t="inlineStr">
        <is>
          <t>예정</t>
        </is>
      </c>
      <c r="H2" s="3" t="inlineStr">
        <is>
          <t>2026-08-28</t>
        </is>
      </c>
      <c r="I2" s="3" t="inlineStr">
        <is>
          <t>2026-09-03</t>
        </is>
      </c>
      <c r="J2" s="3" t="inlineStr">
        <is>
          <t>높음</t>
        </is>
      </c>
    </row>
    <row r="3">
      <c r="A3" s="2" t="inlineStr">
        <is>
          <t>002</t>
        </is>
      </c>
      <c r="B3" s="3" t="inlineStr">
        <is>
          <t>기획</t>
        </is>
      </c>
      <c r="C3" s="3" t="inlineStr">
        <is>
          <t>프로젝트 기획서 작성</t>
        </is>
      </c>
      <c r="D3" s="3" t="inlineStr">
        <is>
          <t>전체</t>
        </is>
      </c>
      <c r="E3" s="3" t="inlineStr">
        <is>
          <t>참여</t>
        </is>
      </c>
      <c r="F3" s="3" t="inlineStr">
        <is>
          <t>Case 생명주기와 조정 구조 서술</t>
        </is>
      </c>
      <c r="G3" s="3" t="inlineStr">
        <is>
          <t>예정</t>
        </is>
      </c>
      <c r="H3" s="3" t="inlineStr">
        <is>
          <t>2026-08-28</t>
        </is>
      </c>
      <c r="I3" s="3" t="inlineStr">
        <is>
          <t>2026-09-03</t>
        </is>
      </c>
      <c r="J3" s="3" t="inlineStr">
        <is>
          <t>높음</t>
        </is>
      </c>
    </row>
    <row r="4">
      <c r="A4" s="2" t="inlineStr">
        <is>
          <t>003</t>
        </is>
      </c>
      <c r="B4" s="3" t="inlineStr">
        <is>
          <t>기획</t>
        </is>
      </c>
      <c r="C4" s="3" t="inlineStr">
        <is>
          <t>요구사항 정의서 작성</t>
        </is>
      </c>
      <c r="D4" s="3" t="inlineStr">
        <is>
          <t>전체</t>
        </is>
      </c>
      <c r="E4" s="3" t="inlineStr">
        <is>
          <t>참여</t>
        </is>
      </c>
      <c r="F4" s="3" t="inlineStr">
        <is>
          <t>상태전이·동시성·재처리 요구사항</t>
        </is>
      </c>
      <c r="G4" s="3" t="inlineStr">
        <is>
          <t>예정</t>
        </is>
      </c>
      <c r="H4" s="3" t="inlineStr">
        <is>
          <t>2026-08-28</t>
        </is>
      </c>
      <c r="I4" s="3" t="inlineStr">
        <is>
          <t>2026-09-03</t>
        </is>
      </c>
      <c r="J4" s="3" t="inlineStr">
        <is>
          <t>높음</t>
        </is>
      </c>
    </row>
    <row r="5">
      <c r="A5" s="4" t="inlineStr">
        <is>
          <t>005</t>
        </is>
      </c>
      <c r="B5" s="5" t="inlineStr">
        <is>
          <t>데이터 수집 및 저장</t>
        </is>
      </c>
      <c r="C5" s="5" t="inlineStr">
        <is>
          <t>데이터베이스·저장소 설계 문서 작성</t>
        </is>
      </c>
      <c r="D5" s="5" t="inlineStr">
        <is>
          <t>전체</t>
        </is>
      </c>
      <c r="E5" s="5" t="inlineStr">
        <is>
          <t>주담당</t>
        </is>
      </c>
      <c r="F5" s="5" t="inlineStr">
        <is>
          <t>소유 테이블 6종(customer_cases, case_events, shared_state, agent_runs, team_tasks, outbox) 설계와 Alembic 단일 브랜치 규약</t>
        </is>
      </c>
      <c r="G5" s="5" t="inlineStr">
        <is>
          <t>예정</t>
        </is>
      </c>
      <c r="H5" s="5" t="inlineStr">
        <is>
          <t>2026-09-04</t>
        </is>
      </c>
      <c r="I5" s="5" t="inlineStr">
        <is>
          <t>2026-09-10</t>
        </is>
      </c>
      <c r="J5" s="5" t="inlineStr">
        <is>
          <t>높음</t>
        </is>
      </c>
    </row>
    <row r="6">
      <c r="A6" s="2" t="inlineStr">
        <is>
          <t>009</t>
        </is>
      </c>
      <c r="B6" s="3" t="inlineStr">
        <is>
          <t>발표 및 시연</t>
        </is>
      </c>
      <c r="C6" s="3" t="inlineStr">
        <is>
          <t>중간 발표 PT 자료 작성</t>
        </is>
      </c>
      <c r="D6" s="3" t="inlineStr">
        <is>
          <t>전체</t>
        </is>
      </c>
      <c r="E6" s="3" t="inlineStr">
        <is>
          <t>참여</t>
        </is>
      </c>
      <c r="F6" s="3" t="inlineStr">
        <is>
          <t>Controller·MessageBus를 거치는 Case 생성 흐름 데모 경로</t>
        </is>
      </c>
      <c r="G6" s="3" t="inlineStr">
        <is>
          <t>예정</t>
        </is>
      </c>
      <c r="H6" s="3" t="inlineStr">
        <is>
          <t>2026-09-11</t>
        </is>
      </c>
      <c r="I6" s="3" t="inlineStr">
        <is>
          <t>2026-09-17</t>
        </is>
      </c>
      <c r="J6" s="3" t="inlineStr">
        <is>
          <t>높음</t>
        </is>
      </c>
    </row>
    <row r="7">
      <c r="A7" s="2" t="inlineStr">
        <is>
          <t>010</t>
        </is>
      </c>
      <c r="B7" s="3" t="inlineStr">
        <is>
          <t>모델링 및 평가</t>
        </is>
      </c>
      <c r="C7" s="3" t="inlineStr">
        <is>
          <t>벡터DB·GraphDB 구축 결과서 작성</t>
        </is>
      </c>
      <c r="D7" s="3" t="inlineStr">
        <is>
          <t>전체</t>
        </is>
      </c>
      <c r="E7" s="3" t="inlineStr">
        <is>
          <t>참여</t>
        </is>
      </c>
      <c r="F7" s="3" t="inlineStr">
        <is>
          <t>GraphStorePort와 SqlGraphAdapter 부분(벡터DB는 모델 담당)</t>
        </is>
      </c>
      <c r="G7" s="3" t="inlineStr">
        <is>
          <t>예정</t>
        </is>
      </c>
      <c r="H7" s="3" t="inlineStr">
        <is>
          <t>2026-09-29</t>
        </is>
      </c>
      <c r="I7" s="3" t="inlineStr">
        <is>
          <t>2026-10-06</t>
        </is>
      </c>
      <c r="J7" s="3" t="inlineStr">
        <is>
          <t>높음</t>
        </is>
      </c>
    </row>
    <row r="8">
      <c r="A8" s="4" t="inlineStr">
        <is>
          <t>011</t>
        </is>
      </c>
      <c r="B8" s="5" t="inlineStr">
        <is>
          <t>모델링 및 평가</t>
        </is>
      </c>
      <c r="C8" s="5" t="inlineStr">
        <is>
          <t>AI 시스템 아키텍처(멀티 에이전트) 작성</t>
        </is>
      </c>
      <c r="D8" s="5" t="inlineStr">
        <is>
          <t>전체</t>
        </is>
      </c>
      <c r="E8" s="5" t="inlineStr">
        <is>
          <t>주담당</t>
        </is>
      </c>
      <c r="F8" s="5" t="inlineStr">
        <is>
          <t>Top-Level LangGraph, Agentic Controller, Agent Team Registry, TeamExecutorPort 구조도와 계층 경계</t>
        </is>
      </c>
      <c r="G8" s="5" t="inlineStr">
        <is>
          <t>예정</t>
        </is>
      </c>
      <c r="H8" s="5" t="inlineStr">
        <is>
          <t>2026-09-29</t>
        </is>
      </c>
      <c r="I8" s="5" t="inlineStr">
        <is>
          <t>2026-10-06</t>
        </is>
      </c>
      <c r="J8" s="5" t="inlineStr">
        <is>
          <t>높음</t>
        </is>
      </c>
    </row>
    <row r="9">
      <c r="A9" s="4" t="inlineStr">
        <is>
          <t>012</t>
        </is>
      </c>
      <c r="B9" s="5" t="inlineStr">
        <is>
          <t>모델링 및 평가</t>
        </is>
      </c>
      <c r="C9" s="5" t="inlineStr">
        <is>
          <t>멀티 에이전트 테스트 계획 및 결과 보고서 작성</t>
        </is>
      </c>
      <c r="D9" s="5" t="inlineStr">
        <is>
          <t>전체</t>
        </is>
      </c>
      <c r="E9" s="5" t="inlineStr">
        <is>
          <t>주담당</t>
        </is>
      </c>
      <c r="F9" s="5" t="inlineStr">
        <is>
          <t>DoD 19·20·22·23 검증 설계(LOCAL/A2A 정규화, Port 교체 불변, Tool 직접호출 금지, at-least-once)</t>
        </is>
      </c>
      <c r="G9" s="5" t="inlineStr">
        <is>
          <t>예정</t>
        </is>
      </c>
      <c r="H9" s="5" t="inlineStr">
        <is>
          <t>2026-09-29</t>
        </is>
      </c>
      <c r="I9" s="5" t="inlineStr">
        <is>
          <t>2026-10-06</t>
        </is>
      </c>
      <c r="J9" s="5" t="inlineStr">
        <is>
          <t>높음</t>
        </is>
      </c>
    </row>
    <row r="10">
      <c r="A10" s="2" t="inlineStr">
        <is>
          <t>014</t>
        </is>
      </c>
      <c r="B10" s="3" t="inlineStr">
        <is>
          <t>모델 배포</t>
        </is>
      </c>
      <c r="C10" s="3" t="inlineStr">
        <is>
          <t>요구사항 정의서 갱신</t>
        </is>
      </c>
      <c r="D10" s="3" t="inlineStr">
        <is>
          <t>전체</t>
        </is>
      </c>
      <c r="E10" s="3" t="inlineStr">
        <is>
          <t>참여</t>
        </is>
      </c>
      <c r="F10" s="3" t="inlineStr">
        <is>
          <t>상태전이·재처리 요구사항 변경분 반영</t>
        </is>
      </c>
      <c r="G10" s="3" t="inlineStr">
        <is>
          <t>예정</t>
        </is>
      </c>
      <c r="H10" s="3" t="inlineStr">
        <is>
          <t>2026-09-29</t>
        </is>
      </c>
      <c r="I10" s="3" t="inlineStr">
        <is>
          <t>2026-10-06</t>
        </is>
      </c>
      <c r="J10" s="3" t="inlineStr">
        <is>
          <t>보통</t>
        </is>
      </c>
    </row>
    <row r="11">
      <c r="A11" s="4" t="inlineStr">
        <is>
          <t>017</t>
        </is>
      </c>
      <c r="B11" s="5" t="inlineStr">
        <is>
          <t>모델 배포</t>
        </is>
      </c>
      <c r="C11" s="5" t="inlineStr">
        <is>
          <t>시스템 구성도 작성</t>
        </is>
      </c>
      <c r="D11" s="5" t="inlineStr">
        <is>
          <t>전체</t>
        </is>
      </c>
      <c r="E11" s="5" t="inlineStr">
        <is>
          <t>주담당</t>
        </is>
      </c>
      <c r="F11" s="5" t="inlineStr">
        <is>
          <t>§25 7주차에 코어 1이 고정한다고 명시된 산출물</t>
        </is>
      </c>
      <c r="G11" s="5" t="inlineStr">
        <is>
          <t>예정</t>
        </is>
      </c>
      <c r="H11" s="5" t="inlineStr">
        <is>
          <t>2026-10-15</t>
        </is>
      </c>
      <c r="I11" s="5" t="inlineStr">
        <is>
          <t>2026-10-21</t>
        </is>
      </c>
      <c r="J11" s="5" t="inlineStr">
        <is>
          <t>높음</t>
        </is>
      </c>
    </row>
    <row r="12">
      <c r="A12" s="2" t="inlineStr">
        <is>
          <t>018</t>
        </is>
      </c>
      <c r="B12" s="3" t="inlineStr">
        <is>
          <t>모델 배포</t>
        </is>
      </c>
      <c r="C12" s="3" t="inlineStr">
        <is>
          <t>서비스 테스트 계획 및 결과 보고서 작성</t>
        </is>
      </c>
      <c r="D12" s="3" t="inlineStr">
        <is>
          <t>전체</t>
        </is>
      </c>
      <c r="E12" s="3" t="inlineStr">
        <is>
          <t>참여</t>
        </is>
      </c>
      <c r="F12" s="3" t="inlineStr">
        <is>
          <t>재처리·경합(CAS race, replay) 테스트 결과</t>
        </is>
      </c>
      <c r="G12" s="3" t="inlineStr">
        <is>
          <t>예정</t>
        </is>
      </c>
      <c r="H12" s="3" t="inlineStr">
        <is>
          <t>2026-10-15</t>
        </is>
      </c>
      <c r="I12" s="3" t="inlineStr">
        <is>
          <t>2026-10-21</t>
        </is>
      </c>
      <c r="J12" s="3" t="inlineStr">
        <is>
          <t>높음</t>
        </is>
      </c>
    </row>
    <row r="13">
      <c r="A13" s="2" t="inlineStr">
        <is>
          <t>019</t>
        </is>
      </c>
      <c r="B13" s="3" t="inlineStr">
        <is>
          <t>발표 및 시연</t>
        </is>
      </c>
      <c r="C13" s="3" t="inlineStr">
        <is>
          <t>최종 발표 PT 자료 작성</t>
        </is>
      </c>
      <c r="D13" s="3" t="inlineStr">
        <is>
          <t>전체</t>
        </is>
      </c>
      <c r="E13" s="3" t="inlineStr">
        <is>
          <t>참여</t>
        </is>
      </c>
      <c r="F13" s="3" t="inlineStr">
        <is>
          <t>코어 1 DoD 근거 요약</t>
        </is>
      </c>
      <c r="G13" s="3" t="inlineStr">
        <is>
          <t>예정</t>
        </is>
      </c>
      <c r="H13" s="3" t="inlineStr">
        <is>
          <t>2026-10-21</t>
        </is>
      </c>
      <c r="I13" s="3" t="inlineStr">
        <is>
          <t>2026-10-24</t>
        </is>
      </c>
      <c r="J13" s="3" t="inlineStr">
        <is>
          <t>높음</t>
        </is>
      </c>
    </row>
    <row r="14">
      <c r="A14" s="2" t="inlineStr">
        <is>
          <t>020</t>
        </is>
      </c>
      <c r="B14" s="3" t="inlineStr">
        <is>
          <t>발표 및 시연</t>
        </is>
      </c>
      <c r="C14" s="3" t="inlineStr">
        <is>
          <t>프로젝트 개발 소스코드 정리</t>
        </is>
      </c>
      <c r="D14" s="3" t="inlineStr">
        <is>
          <t>전체</t>
        </is>
      </c>
      <c r="E14" s="3" t="inlineStr">
        <is>
          <t>참여</t>
        </is>
      </c>
      <c r="F14" s="3" t="inlineStr">
        <is>
          <t>코어 1 소유 모듈 정리와 주석</t>
        </is>
      </c>
      <c r="G14" s="3" t="inlineStr">
        <is>
          <t>예정</t>
        </is>
      </c>
      <c r="H14" s="3" t="inlineStr">
        <is>
          <t>2026-10-21</t>
        </is>
      </c>
      <c r="I14" s="3" t="inlineStr">
        <is>
          <t>2026-10-24</t>
        </is>
      </c>
      <c r="J14" s="3" t="inlineStr">
        <is>
          <t>높음</t>
        </is>
      </c>
    </row>
    <row r="16">
      <c r="B16" s="6" t="inlineStr">
        <is>
          <t>요약</t>
        </is>
      </c>
    </row>
    <row r="17">
      <c r="B17" s="7" t="inlineStr">
        <is>
          <t>전체 건수</t>
        </is>
      </c>
      <c r="C17" s="7">
        <f>COUNTA($A$2:$A$14)</f>
        <v/>
      </c>
    </row>
    <row r="18">
      <c r="B18" s="7" t="inlineStr">
        <is>
          <t>주담당</t>
        </is>
      </c>
      <c r="C18" s="7">
        <f>COUNTIF($E$2:$E$14,"주담당")</f>
        <v/>
      </c>
    </row>
    <row r="19">
      <c r="B19" s="7" t="inlineStr">
        <is>
          <t>참여</t>
        </is>
      </c>
      <c r="C19" s="7">
        <f>COUNTIF($E$2:$E$14,"참여")</f>
        <v/>
      </c>
    </row>
    <row r="20">
      <c r="B20" s="7" t="inlineStr">
        <is>
          <t>완료</t>
        </is>
      </c>
      <c r="C20" s="7">
        <f>COUNTIF($G$2:$G$14,"완료")</f>
        <v/>
      </c>
    </row>
    <row r="22">
      <c r="B22" s="6" t="inlineStr">
        <is>
          <t>근거</t>
        </is>
      </c>
      <c r="C22" s="7" t="inlineStr">
        <is>
          <t>원본 [기획] WBS_A-COPilot.xlsx 21건 중 코어 1이 내용을 쓰는 13건만 남겼다. 원본은 담당자가 21건 전부 '전체'라 Core 구분이 없다.</t>
        </is>
      </c>
    </row>
    <row r="23">
      <c r="C23" s="7" t="inlineStr">
        <is>
          <t>코어 1 소유 경계는 program/plan/A-COP_구현계획서_v8.md §16, 주차별 배분은 §25 '코어 1' 열이 정본이다.</t>
        </is>
      </c>
    </row>
    <row r="24">
      <c r="C24" s="7" t="inlineStr">
        <is>
          <t>빠진 8건(004 수집 데이터, 006 전처리, 007 ML·DL 학습결과, 008 학습 모델, 013 sLLM, 015 화면설계서, 016 LLM 연동 웹앱, 021 시연영상)은 모델 3명과 검증&amp;프론트 몫이다.</t>
        </is>
      </c>
    </row>
    <row r="25">
      <c r="C25" s="7" t="inlineStr">
        <is>
          <t>노란 칸이 주담당이다. 날짜와 우선순위는 원본 값을 그대로 옮겼다.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22" customWidth="1" min="3" max="3"/>
    <col width="52" customWidth="1" min="4" max="4"/>
    <col width="30" customWidth="1" min="5" max="5"/>
    <col width="8" customWidth="1" min="6" max="6"/>
    <col width="10" customWidth="1" min="7" max="7"/>
  </cols>
  <sheetData>
    <row r="1">
      <c r="A1" s="1" t="inlineStr">
        <is>
          <t>Task ID</t>
        </is>
      </c>
      <c r="B1" s="1" t="inlineStr">
        <is>
          <t>주차</t>
        </is>
      </c>
      <c r="C1" s="1" t="inlineStr">
        <is>
          <t>기간</t>
        </is>
      </c>
      <c r="D1" s="1" t="inlineStr">
        <is>
          <t>코어 1 작업</t>
        </is>
      </c>
      <c r="E1" s="1" t="inlineStr">
        <is>
          <t>산출 근거</t>
        </is>
      </c>
      <c r="F1" s="1" t="inlineStr">
        <is>
          <t>상태</t>
        </is>
      </c>
      <c r="G1" s="1" t="inlineStr">
        <is>
          <t>우선순위</t>
        </is>
      </c>
    </row>
    <row r="2">
      <c r="A2" s="2" t="inlineStr">
        <is>
          <t>C1-00</t>
        </is>
      </c>
      <c r="B2" s="3" t="inlineStr">
        <is>
          <t>선행</t>
        </is>
      </c>
      <c r="C2" s="3" t="inlineStr">
        <is>
          <t>2026-08-17~08-27 (11일)</t>
        </is>
      </c>
      <c r="D2" s="3" t="inlineStr">
        <is>
          <t>Case·Contract·State stub 을 만든다.</t>
        </is>
      </c>
      <c r="E2" s="3" t="inlineStr">
        <is>
          <t>§25 선행행</t>
        </is>
      </c>
      <c r="F2" s="3" t="inlineStr">
        <is>
          <t>예정</t>
        </is>
      </c>
      <c r="G2" s="3" t="inlineStr">
        <is>
          <t>높음</t>
        </is>
      </c>
    </row>
    <row r="3">
      <c r="A3" s="2" t="inlineStr">
        <is>
          <t>C1-01</t>
        </is>
      </c>
      <c r="B3" s="3" t="inlineStr">
        <is>
          <t>1W</t>
        </is>
      </c>
      <c r="C3" s="3" t="inlineStr">
        <is>
          <t>2026-08-28~09-03</t>
        </is>
      </c>
      <c r="D3" s="3" t="inlineStr">
        <is>
          <t>선행 초안을 공식 양식에 맞춰 동결하고 CAS·transition 경계를 정리한다. 금요일이 Contract Freeze Day 다.</t>
        </is>
      </c>
      <c r="E3" s="3" t="inlineStr">
        <is>
          <t>§25 1W · DoD 2</t>
        </is>
      </c>
      <c r="F3" s="3" t="inlineStr">
        <is>
          <t>예정</t>
        </is>
      </c>
      <c r="G3" s="3" t="inlineStr">
        <is>
          <t>높음</t>
        </is>
      </c>
    </row>
    <row r="4">
      <c r="A4" s="2" t="inlineStr">
        <is>
          <t>C1-02</t>
        </is>
      </c>
      <c r="B4" s="3" t="inlineStr">
        <is>
          <t>2W</t>
        </is>
      </c>
      <c r="C4" s="3" t="inlineStr">
        <is>
          <t>2026-09-04~09-10</t>
        </is>
      </c>
      <c r="D4" s="3" t="inlineStr">
        <is>
          <t>Case·Action 상태와 Registry 구조를 seed 데이터에 맞춰 정리한다.</t>
        </is>
      </c>
      <c r="E4" s="3" t="inlineStr">
        <is>
          <t>§25 2W · DoD 8</t>
        </is>
      </c>
      <c r="F4" s="3" t="inlineStr">
        <is>
          <t>예정</t>
        </is>
      </c>
      <c r="G4" s="3" t="inlineStr">
        <is>
          <t>높음</t>
        </is>
      </c>
    </row>
    <row r="5">
      <c r="A5" s="2" t="inlineStr">
        <is>
          <t>C1-03</t>
        </is>
      </c>
      <c r="B5" s="3" t="inlineStr">
        <is>
          <t>3W</t>
        </is>
      </c>
      <c r="C5" s="3" t="inlineStr">
        <is>
          <t>2026-09-11~09-17 (중간발표 09-15)</t>
        </is>
      </c>
      <c r="D5" s="3" t="inlineStr">
        <is>
          <t>Controller·MessageBus 와 Case 생성 흐름을 중간발표 경로에 연결한다.</t>
        </is>
      </c>
      <c r="E5" s="3" t="inlineStr">
        <is>
          <t>§25 3W</t>
        </is>
      </c>
      <c r="F5" s="3" t="inlineStr">
        <is>
          <t>예정</t>
        </is>
      </c>
      <c r="G5" s="3" t="inlineStr">
        <is>
          <t>높음</t>
        </is>
      </c>
    </row>
    <row r="6">
      <c r="A6" s="2" t="inlineStr">
        <is>
          <t>C1-04</t>
        </is>
      </c>
      <c r="B6" s="3" t="inlineStr">
        <is>
          <t>4W</t>
        </is>
      </c>
      <c r="C6" s="3" t="inlineStr">
        <is>
          <t>2026-09-18~09-28 (11일)</t>
        </is>
      </c>
      <c r="D6" s="3" t="inlineStr">
        <is>
          <t>Context Broker 와 projection 을 안정화한다.</t>
        </is>
      </c>
      <c r="E6" s="3" t="inlineStr">
        <is>
          <t>§25 4W · DoD 4·5</t>
        </is>
      </c>
      <c r="F6" s="3" t="inlineStr">
        <is>
          <t>예정</t>
        </is>
      </c>
      <c r="G6" s="3" t="inlineStr">
        <is>
          <t>높음</t>
        </is>
      </c>
    </row>
    <row r="7">
      <c r="A7" s="2" t="inlineStr">
        <is>
          <t>C1-05</t>
        </is>
      </c>
      <c r="B7" s="3" t="inlineStr">
        <is>
          <t>5W</t>
        </is>
      </c>
      <c r="C7" s="3" t="inlineStr">
        <is>
          <t>2026-09-29~10-06</t>
        </is>
      </c>
      <c r="D7" s="3" t="inlineStr">
        <is>
          <t>Outbox·retry·WAIT/RESUME 와 GraphStorePort·SQL adapter 를 정리한다.</t>
        </is>
      </c>
      <c r="E7" s="3" t="inlineStr">
        <is>
          <t>§25 5W · DoD 12·21</t>
        </is>
      </c>
      <c r="F7" s="3" t="inlineStr">
        <is>
          <t>예정</t>
        </is>
      </c>
      <c r="G7" s="3" t="inlineStr">
        <is>
          <t>높음</t>
        </is>
      </c>
    </row>
    <row r="8">
      <c r="A8" s="2" t="inlineStr">
        <is>
          <t>C1-06</t>
        </is>
      </c>
      <c r="B8" s="3" t="inlineStr">
        <is>
          <t>6W</t>
        </is>
      </c>
      <c r="C8" s="3" t="inlineStr">
        <is>
          <t>2026-10-07~10-14</t>
        </is>
      </c>
      <c r="D8" s="3" t="inlineStr">
        <is>
          <t>Shared State merge 와 재처리 경로를 보완한다.</t>
        </is>
      </c>
      <c r="E8" s="3" t="inlineStr">
        <is>
          <t>§25 6W · DoD 3·23</t>
        </is>
      </c>
      <c r="F8" s="3" t="inlineStr">
        <is>
          <t>예정</t>
        </is>
      </c>
      <c r="G8" s="3" t="inlineStr">
        <is>
          <t>보통</t>
        </is>
      </c>
    </row>
    <row r="9">
      <c r="A9" s="2" t="inlineStr">
        <is>
          <t>C1-07</t>
        </is>
      </c>
      <c r="B9" s="3" t="inlineStr">
        <is>
          <t>7W</t>
        </is>
      </c>
      <c r="C9" s="3" t="inlineStr">
        <is>
          <t>2026-10-15~10-21</t>
        </is>
      </c>
      <c r="D9" s="3" t="inlineStr">
        <is>
          <t>GraphStorePort·SQL adapter 와 시스템 구성도를 고정한다.</t>
        </is>
      </c>
      <c r="E9" s="3" t="inlineStr">
        <is>
          <t>§25 7W · DoD 21</t>
        </is>
      </c>
      <c r="F9" s="3" t="inlineStr">
        <is>
          <t>예정</t>
        </is>
      </c>
      <c r="G9" s="3" t="inlineStr">
        <is>
          <t>높음</t>
        </is>
      </c>
    </row>
    <row r="10">
      <c r="A10" s="2" t="inlineStr">
        <is>
          <t>C1-08</t>
        </is>
      </c>
      <c r="B10" s="3" t="inlineStr">
        <is>
          <t>8W</t>
        </is>
      </c>
      <c r="C10" s="3" t="inlineStr">
        <is>
          <t>2026-10-21~10-24 (4일)</t>
        </is>
      </c>
      <c r="D10" s="3" t="inlineStr">
        <is>
          <t>재처리·경합 테스트와 DoD 근거를 최종 확인한다.</t>
        </is>
      </c>
      <c r="E10" s="3" t="inlineStr">
        <is>
          <t>§25 8W · DoD 3</t>
        </is>
      </c>
      <c r="F10" s="3" t="inlineStr">
        <is>
          <t>예정</t>
        </is>
      </c>
      <c r="G10" s="3" t="inlineStr">
        <is>
          <t>높음</t>
        </is>
      </c>
    </row>
    <row r="11">
      <c r="A11" s="2" t="inlineStr">
        <is>
          <t>C1-09</t>
        </is>
      </c>
      <c r="B11" s="3" t="inlineStr">
        <is>
          <t>9W</t>
        </is>
      </c>
      <c r="C11" s="3" t="inlineStr">
        <is>
          <t>~2026-10-26 (최종발표)</t>
        </is>
      </c>
      <c r="D11" s="3" t="inlineStr">
        <is>
          <t>버그를 수정하고 DoD·Alembic gate 를 확인한다.</t>
        </is>
      </c>
      <c r="E11" s="3" t="inlineStr">
        <is>
          <t>§25 9W · DoD 17</t>
        </is>
      </c>
      <c r="F11" s="3" t="inlineStr">
        <is>
          <t>예정</t>
        </is>
      </c>
      <c r="G11" s="3" t="inlineStr">
        <is>
          <t>높음</t>
        </is>
      </c>
    </row>
    <row r="13">
      <c r="B13" s="6" t="inlineStr">
        <is>
          <t>근거</t>
        </is>
      </c>
      <c r="C13" s="7" t="inlineStr">
        <is>
          <t>program/plan/A-COP_구현계획서_v8.md §25 표의 '코어 1' 열 원문. 기간은 같은 표의 기간 열.</t>
        </is>
      </c>
    </row>
    <row r="14">
      <c r="C14" s="7" t="inlineStr">
        <is>
          <t>코어 1 담당 범위: Case, lifecycle, Shared State, CAS, Controller, Top-Level LangGraph, Registry, TeamExecutorPort, Message Broker 정책 (§16)</t>
        </is>
      </c>
    </row>
    <row r="15">
      <c r="C15" s="7" t="inlineStr">
        <is>
          <t>담당하지 않는 것: 외부 인증, Tool 실행, Team 내부 로직 (§16)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46" customWidth="1" min="3" max="3"/>
    <col width="9" customWidth="1" min="4" max="4"/>
    <col width="12" customWidth="1" min="5" max="5"/>
    <col width="8" customWidth="1" min="6" max="6"/>
  </cols>
  <sheetData>
    <row r="1">
      <c r="A1" s="1" t="inlineStr">
        <is>
          <t>DoD 번호</t>
        </is>
      </c>
      <c r="B1" s="1" t="inlineStr">
        <is>
          <t>기준</t>
        </is>
      </c>
      <c r="C1" s="1" t="inlineStr">
        <is>
          <t>검증 방법</t>
        </is>
      </c>
      <c r="D1" s="1" t="inlineStr">
        <is>
          <t>소유</t>
        </is>
      </c>
      <c r="E1" s="1" t="inlineStr">
        <is>
          <t>관련 작업</t>
        </is>
      </c>
      <c r="F1" s="1" t="inlineStr">
        <is>
          <t>상태</t>
        </is>
      </c>
    </row>
    <row r="2">
      <c r="A2" s="2" t="inlineStr">
        <is>
          <t>2</t>
        </is>
      </c>
      <c r="B2" s="3" t="inlineStr">
        <is>
          <t>상태전이 규약</t>
        </is>
      </c>
      <c r="C2" s="3" t="inlineStr">
        <is>
          <t>transition_case integration test 와 허용 전이 표 대조</t>
        </is>
      </c>
      <c r="D2" s="3" t="inlineStr">
        <is>
          <t>단독</t>
        </is>
      </c>
      <c r="E2" s="3" t="inlineStr">
        <is>
          <t>C1-01</t>
        </is>
      </c>
      <c r="F2" s="3" t="inlineStr">
        <is>
          <t>예정</t>
        </is>
      </c>
    </row>
    <row r="3">
      <c r="A3" s="2" t="inlineStr">
        <is>
          <t>3</t>
        </is>
      </c>
      <c r="B3" s="3" t="inlineStr">
        <is>
          <t>동시성·append-only·replay</t>
        </is>
      </c>
      <c r="C3" s="3" t="inlineStr">
        <is>
          <t>CAS race, event replay fixture, SQL 결과 검증</t>
        </is>
      </c>
      <c r="D3" s="3" t="inlineStr">
        <is>
          <t>단독</t>
        </is>
      </c>
      <c r="E3" s="3" t="inlineStr">
        <is>
          <t>C1-06, C1-08</t>
        </is>
      </c>
      <c r="F3" s="3" t="inlineStr">
        <is>
          <t>예정</t>
        </is>
      </c>
    </row>
    <row r="4">
      <c r="A4" s="2" t="inlineStr">
        <is>
          <t>4</t>
        </is>
      </c>
      <c r="B4" s="3" t="inlineStr">
        <is>
          <t>checkpoint/projection 분리</t>
        </is>
      </c>
      <c r="C4" s="3" t="inlineStr">
        <is>
          <t>graph revision 변경 및 projection replay test</t>
        </is>
      </c>
      <c r="D4" s="3" t="inlineStr">
        <is>
          <t>단독</t>
        </is>
      </c>
      <c r="E4" s="3" t="inlineStr">
        <is>
          <t>C1-04</t>
        </is>
      </c>
      <c r="F4" s="3" t="inlineStr">
        <is>
          <t>예정</t>
        </is>
      </c>
    </row>
    <row r="5">
      <c r="A5" s="2" t="inlineStr">
        <is>
          <t>5</t>
        </is>
      </c>
      <c r="B5" s="3" t="inlineStr">
        <is>
          <t>ContextPack ≤ 12,000</t>
        </is>
      </c>
      <c r="C5" s="3" t="inlineStr">
        <is>
          <t>token counter 와 degraded omissions assertion</t>
        </is>
      </c>
      <c r="D5" s="3" t="inlineStr">
        <is>
          <t>단독</t>
        </is>
      </c>
      <c r="E5" s="3" t="inlineStr">
        <is>
          <t>C1-04</t>
        </is>
      </c>
      <c r="F5" s="3" t="inlineStr">
        <is>
          <t>예정</t>
        </is>
      </c>
    </row>
    <row r="6">
      <c r="A6" s="2" t="inlineStr">
        <is>
          <t>8</t>
        </is>
      </c>
      <c r="B6" s="3" t="inlineStr">
        <is>
          <t>TeamModule·manifest 호환</t>
        </is>
      </c>
      <c r="C6" s="3" t="inlineStr">
        <is>
          <t>Protocol contract 와 major/minor version test</t>
        </is>
      </c>
      <c r="D6" s="3" t="inlineStr">
        <is>
          <t>단독</t>
        </is>
      </c>
      <c r="E6" s="3" t="inlineStr">
        <is>
          <t>C1-02</t>
        </is>
      </c>
      <c r="F6" s="3" t="inlineStr">
        <is>
          <t>예정</t>
        </is>
      </c>
    </row>
    <row r="7">
      <c r="A7" s="2" t="inlineStr">
        <is>
          <t>12</t>
        </is>
      </c>
      <c r="B7" s="3" t="inlineStr">
        <is>
          <t>outbox 원자성·worker replay</t>
        </is>
      </c>
      <c r="C7" s="3" t="inlineStr">
        <is>
          <t>failure injection 후 pending row 와 replay test</t>
        </is>
      </c>
      <c r="D7" s="3" t="inlineStr">
        <is>
          <t>단독</t>
        </is>
      </c>
      <c r="E7" s="3" t="inlineStr">
        <is>
          <t>C1-05</t>
        </is>
      </c>
      <c r="F7" s="3" t="inlineStr">
        <is>
          <t>예정</t>
        </is>
      </c>
    </row>
    <row r="8">
      <c r="A8" s="2" t="inlineStr">
        <is>
          <t>17</t>
        </is>
      </c>
      <c r="B8" s="3" t="inlineStr">
        <is>
          <t>milestone gate·기능 동결</t>
        </is>
      </c>
      <c r="C8" s="3" t="inlineStr">
        <is>
          <t>CI gate, Contract Freeze 기록, Alembic upgrade/downgrade</t>
        </is>
      </c>
      <c r="D8" s="3" t="inlineStr">
        <is>
          <t>공동</t>
        </is>
      </c>
      <c r="E8" s="3" t="inlineStr">
        <is>
          <t>C1-01, C1-09</t>
        </is>
      </c>
      <c r="F8" s="3" t="inlineStr">
        <is>
          <t>예정</t>
        </is>
      </c>
    </row>
    <row r="9">
      <c r="A9" s="2" t="inlineStr">
        <is>
          <t>19</t>
        </is>
      </c>
      <c r="B9" s="3" t="inlineStr">
        <is>
          <t>LOCAL/A2A 가 동일 TeamResult 로 정규화</t>
        </is>
      </c>
      <c r="C9" s="3" t="inlineStr">
        <is>
          <t>두 Executor contract test 에서 canonical JSON 비교</t>
        </is>
      </c>
      <c r="D9" s="3" t="inlineStr">
        <is>
          <t>단독</t>
        </is>
      </c>
      <c r="E9" s="3" t="inlineStr">
        <is>
          <t>C1-05</t>
        </is>
      </c>
      <c r="F9" s="3" t="inlineStr">
        <is>
          <t>예정</t>
        </is>
      </c>
    </row>
    <row r="10">
      <c r="A10" s="2" t="inlineStr">
        <is>
          <t>20</t>
        </is>
      </c>
      <c r="B10" s="3" t="inlineStr">
        <is>
          <t>TeamExecutorPort 교체 시 Controller 불변</t>
        </is>
      </c>
      <c r="C10" s="3" t="inlineStr">
        <is>
          <t>Local/A2A adapter 교체 test 와 Controller import boundary 정적 검사</t>
        </is>
      </c>
      <c r="D10" s="3" t="inlineStr">
        <is>
          <t>단독</t>
        </is>
      </c>
      <c r="E10" s="3" t="inlineStr">
        <is>
          <t>C1-05</t>
        </is>
      </c>
      <c r="F10" s="3" t="inlineStr">
        <is>
          <t>예정</t>
        </is>
      </c>
    </row>
    <row r="11">
      <c r="A11" s="2" t="inlineStr">
        <is>
          <t>21</t>
        </is>
      </c>
      <c r="B11" s="3" t="inlineStr">
        <is>
          <t>SqlGraphAdapter 관계 질의 3종 정확성</t>
        </is>
      </c>
      <c r="C11" s="3" t="inlineStr">
        <is>
          <t>Case→Issue→Policy, Issue→Team, Case→Action fixture assertion</t>
        </is>
      </c>
      <c r="D11" s="3" t="inlineStr">
        <is>
          <t>단독</t>
        </is>
      </c>
      <c r="E11" s="3" t="inlineStr">
        <is>
          <t>C1-05, C1-07</t>
        </is>
      </c>
      <c r="F11" s="3" t="inlineStr">
        <is>
          <t>예정</t>
        </is>
      </c>
    </row>
    <row r="12">
      <c r="A12" s="2" t="inlineStr">
        <is>
          <t>22</t>
        </is>
      </c>
      <c r="B12" s="3" t="inlineStr">
        <is>
          <t>Team 의 직접 Tool 호출 금지</t>
        </is>
      </c>
      <c r="C12" s="3" t="inlineStr">
        <is>
          <t>Team module AST/import 정적 검사와 runtime spy</t>
        </is>
      </c>
      <c r="D12" s="3" t="inlineStr">
        <is>
          <t>단독</t>
        </is>
      </c>
      <c r="E12" s="3" t="inlineStr">
        <is>
          <t>C1-02</t>
        </is>
      </c>
      <c r="F12" s="3" t="inlineStr">
        <is>
          <t>예정</t>
        </is>
      </c>
    </row>
    <row r="13">
      <c r="A13" s="2" t="inlineStr">
        <is>
          <t>23</t>
        </is>
      </c>
      <c r="B13" s="3" t="inlineStr">
        <is>
          <t>모든 consumer at-least-once idempotency</t>
        </is>
      </c>
      <c r="C13" s="3" t="inlineStr">
        <is>
          <t>동일 message 를 2회 전달하는 duplicate/replay integration test</t>
        </is>
      </c>
      <c r="D13" s="3" t="inlineStr">
        <is>
          <t>단독</t>
        </is>
      </c>
      <c r="E13" s="3" t="inlineStr">
        <is>
          <t>C1-06</t>
        </is>
      </c>
      <c r="F13" s="3" t="inlineStr">
        <is>
          <t>예정</t>
        </is>
      </c>
    </row>
    <row r="14">
      <c r="A14" s="2" t="inlineStr">
        <is>
          <t>25</t>
        </is>
      </c>
      <c r="B14" s="3" t="inlineStr">
        <is>
          <t>degraded Context 자동 실행 금지</t>
        </is>
      </c>
      <c r="C14" s="3" t="inlineStr">
        <is>
          <t>ContextPack.degraded=true fixture 에서 escalated 되는지 검증</t>
        </is>
      </c>
      <c r="D14" s="3" t="inlineStr">
        <is>
          <t>공동</t>
        </is>
      </c>
      <c r="E14" s="3" t="inlineStr">
        <is>
          <t>C1-04</t>
        </is>
      </c>
      <c r="F14" s="3" t="inlineStr">
        <is>
          <t>예정</t>
        </is>
      </c>
    </row>
    <row r="16">
      <c r="B16" s="6" t="inlineStr">
        <is>
          <t>요약</t>
        </is>
      </c>
    </row>
    <row r="17">
      <c r="B17" s="7" t="inlineStr">
        <is>
          <t>코어 1 DoD 건수</t>
        </is>
      </c>
      <c r="C17" s="7">
        <f>COUNTA($A$2:$A$14)</f>
        <v/>
      </c>
    </row>
    <row r="18">
      <c r="B18" s="7" t="inlineStr">
        <is>
          <t>단독 소유</t>
        </is>
      </c>
      <c r="C18" s="7">
        <f>COUNTIF($D$2:$D$14,"단독")</f>
        <v/>
      </c>
    </row>
    <row r="19">
      <c r="B19" s="7" t="inlineStr">
        <is>
          <t>공동 소유</t>
        </is>
      </c>
      <c r="C19" s="7">
        <f>COUNTIF($D$2:$D$14,"공동")</f>
        <v/>
      </c>
    </row>
    <row r="20">
      <c r="B20" s="7" t="inlineStr">
        <is>
          <t>완료</t>
        </is>
      </c>
      <c r="C20" s="7">
        <f>COUNTIF($F$2:$F$14,"완료")</f>
        <v/>
      </c>
    </row>
    <row r="22">
      <c r="B22" s="6" t="inlineStr">
        <is>
          <t>근거</t>
        </is>
      </c>
      <c r="C22" s="7" t="inlineStr">
        <is>
          <t>program/plan/A-COP_구현계획서_v8.md §27 DoD 1~29 중 코어 1 담당 범위(§16)에 해당하는 13건.</t>
        </is>
      </c>
    </row>
    <row r="23">
      <c r="C23" s="7" t="inlineStr">
        <is>
          <t>'공동'은 코어 2 또는 검증&amp;프론트와 함께 증명하는 항목이다.</t>
        </is>
      </c>
    </row>
    <row r="24">
      <c r="C24" s="7" t="inlineStr">
        <is>
          <t>제외한 16건은 데이터·RAG(6·9·10), 인증·Action·감사(7·11·13·14·24·26·27), 평가·통계(1·15·16·28), UI(18), Team 내부(29)로 다른 담당 몫이다.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2026-08-31T21:37:26Z</dcterms:created>
  <dcterms:modified xmlns:dcterms="http://purl.org/dc/terms/" xmlns:xsi="http://www.w3.org/2001/XMLSchema-instance" xsi:type="dcterms:W3CDTF">2026-08-31T21:37:26Z</dcterms:modified>
</cp:coreProperties>
</file>