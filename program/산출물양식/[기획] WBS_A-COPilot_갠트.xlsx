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갠트 차트 템플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&quot;년 &quot;m&quot;월 &quot;d&quot;일&quot;"/>
    <numFmt numFmtId="165" formatCode="&quot;$&quot;#,##0.00"/>
    <numFmt numFmtId="166" formatCode="yyyy-mm-dd"/>
    <numFmt numFmtId="167" formatCode="mm/dd"/>
  </numFmts>
  <fonts count="31">
    <font>
      <name val="Arial"/>
      <color rgb="FF000000"/>
      <sz val="10"/>
    </font>
    <font>
      <name val="Poppins"/>
      <sz val="11"/>
    </font>
    <font>
      <name val="Poppins"/>
      <b val="1"/>
      <color rgb="FF0B5394"/>
      <sz val="30"/>
    </font>
    <font>
      <name val="Poppins"/>
      <b val="1"/>
      <color rgb="FF0B5394"/>
      <sz val="11"/>
    </font>
    <font>
      <name val="Poppins"/>
    </font>
    <font>
      <name val="Poppins"/>
      <color rgb="FF000000"/>
      <sz val="11"/>
    </font>
    <font>
      <name val="Poppins"/>
      <color rgb="FFFFFFFF"/>
      <sz val="11"/>
    </font>
    <font>
      <name val="Roboto"/>
      <b val="1"/>
      <color rgb="FF0B5394"/>
      <sz val="30"/>
    </font>
    <font/>
    <font>
      <name val="Roboto"/>
      <b val="1"/>
      <color rgb="FF0B5394"/>
      <sz val="32"/>
    </font>
    <font>
      <name val="Roboto"/>
      <b val="1"/>
      <color rgb="FF0B5394"/>
      <sz val="12"/>
    </font>
    <font>
      <name val="Roboto"/>
      <color rgb="FF0B5394"/>
      <sz val="12"/>
    </font>
    <font>
      <name val="Poppins"/>
      <color rgb="FF000000"/>
      <sz val="12"/>
    </font>
    <font>
      <name val="Poppins"/>
      <b val="1"/>
      <color rgb="FF434343"/>
      <sz val="11"/>
    </font>
    <font>
      <name val="Poppins"/>
      <color rgb="FF434343"/>
      <sz val="11"/>
    </font>
    <font>
      <name val="Century Gothic"/>
      <color rgb="FF000000"/>
      <sz val="11"/>
    </font>
    <font>
      <name val="Century Gothic"/>
      <sz val="11"/>
    </font>
    <font>
      <name val="Roboto"/>
      <b val="1"/>
      <color rgb="FF666666"/>
      <sz val="10"/>
    </font>
    <font>
      <name val="Roboto"/>
      <color rgb="FF999999"/>
      <sz val="10"/>
    </font>
    <font>
      <name val="Roboto"/>
      <sz val="11"/>
    </font>
    <font>
      <name val="Roboto"/>
      <color rgb="FF000000"/>
      <sz val="11"/>
    </font>
    <font>
      <name val="Roboto"/>
      <b val="1"/>
      <color rgb="FF000000"/>
      <sz val="8"/>
    </font>
    <font>
      <name val="Roboto"/>
      <b val="1"/>
      <color rgb="FFFFFFFF"/>
      <sz val="9"/>
    </font>
    <font>
      <name val="Roboto"/>
      <b val="1"/>
      <sz val="8"/>
    </font>
    <font>
      <name val="Roboto"/>
      <sz val="9"/>
    </font>
    <font>
      <name val="Roboto"/>
      <b val="1"/>
      <color rgb="FF000000"/>
      <sz val="9"/>
    </font>
    <font>
      <name val="Roboto"/>
      <b val="1"/>
      <color rgb="FF000000"/>
      <sz val="11"/>
    </font>
    <font>
      <name val="Roboto"/>
      <sz val="10"/>
    </font>
    <font>
      <name val="Roboto"/>
      <color rgb="FF434343"/>
      <sz val="10"/>
    </font>
    <font>
      <name val="Roboto"/>
      <b val="1"/>
      <color rgb="FF000000"/>
      <sz val="10"/>
    </font>
    <font>
      <name val="Arial"/>
    </font>
  </fonts>
  <fills count="2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001F3864"/>
      </patternFill>
    </fill>
    <fill>
      <patternFill patternType="solid">
        <fgColor rgb="004A7EBB"/>
      </patternFill>
    </fill>
    <fill>
      <patternFill patternType="solid">
        <fgColor rgb="009DC3E6"/>
      </patternFill>
    </fill>
  </fills>
  <borders count="25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thin">
        <color rgb="FFCCCCCC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13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2" borderId="1" applyAlignment="1" pivotButton="0" quotePrefix="0" xfId="0">
      <alignment vertical="center"/>
    </xf>
    <xf numFmtId="0" fontId="8" fillId="0" borderId="1" pivotButton="0" quotePrefix="0" xfId="0"/>
    <xf numFmtId="0" fontId="9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vertical="center"/>
    </xf>
    <xf numFmtId="0" fontId="15" fillId="2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2" applyAlignment="1" pivotButton="0" quotePrefix="0" xfId="0">
      <alignment horizontal="left" vertical="center"/>
    </xf>
    <xf numFmtId="0" fontId="8" fillId="0" borderId="2" pivotButton="0" quotePrefix="0" xfId="0"/>
    <xf numFmtId="0" fontId="18" fillId="2" borderId="2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0" fontId="18" fillId="0" borderId="2" applyAlignment="1" pivotButton="0" quotePrefix="0" xfId="0">
      <alignment horizontal="left" vertical="center"/>
    </xf>
    <xf numFmtId="0" fontId="4" fillId="0" borderId="0" pivotButton="0" quotePrefix="0" xfId="0"/>
    <xf numFmtId="0" fontId="18" fillId="0" borderId="2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2" applyAlignment="1" pivotButton="0" quotePrefix="0" xfId="0">
      <alignment horizontal="left" vertical="center"/>
    </xf>
    <xf numFmtId="0" fontId="18" fillId="0" borderId="2" pivotButton="0" quotePrefix="0" xfId="0"/>
    <xf numFmtId="0" fontId="1" fillId="0" borderId="0" pivotButton="0" quotePrefix="0" xfId="0"/>
    <xf numFmtId="0" fontId="19" fillId="0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0" fontId="20" fillId="2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3" borderId="0" applyAlignment="1" pivotButton="0" quotePrefix="0" xfId="0">
      <alignment horizontal="center" vertical="center" wrapText="1"/>
    </xf>
    <xf numFmtId="0" fontId="22" fillId="4" borderId="3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/>
    </xf>
    <xf numFmtId="0" fontId="22" fillId="6" borderId="3" applyAlignment="1" pivotButton="0" quotePrefix="0" xfId="0">
      <alignment horizontal="center" vertical="center"/>
    </xf>
    <xf numFmtId="0" fontId="22" fillId="7" borderId="3" applyAlignment="1" pivotButton="0" quotePrefix="0" xfId="0">
      <alignment horizontal="center" vertical="center"/>
    </xf>
    <xf numFmtId="0" fontId="8" fillId="0" borderId="4" pivotButton="0" quotePrefix="0" xfId="0"/>
    <xf numFmtId="0" fontId="23" fillId="0" borderId="0" applyAlignment="1" pivotButton="0" quotePrefix="0" xfId="0">
      <alignment vertical="center"/>
    </xf>
    <xf numFmtId="0" fontId="22" fillId="8" borderId="5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22" fillId="9" borderId="5" applyAlignment="1" pivotButton="0" quotePrefix="0" xfId="0">
      <alignment horizontal="center" vertical="center"/>
    </xf>
    <xf numFmtId="0" fontId="22" fillId="10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5" fillId="12" borderId="8" applyAlignment="1" pivotButton="0" quotePrefix="0" xfId="0">
      <alignment horizontal="center" vertical="center"/>
    </xf>
    <xf numFmtId="0" fontId="25" fillId="13" borderId="8" applyAlignment="1" pivotButton="0" quotePrefix="0" xfId="0">
      <alignment horizontal="center" vertical="center"/>
    </xf>
    <xf numFmtId="0" fontId="25" fillId="14" borderId="8" applyAlignment="1" pivotButton="0" quotePrefix="0" xfId="0">
      <alignment horizontal="center" vertical="center"/>
    </xf>
    <xf numFmtId="0" fontId="25" fillId="15" borderId="8" applyAlignment="1" pivotButton="0" quotePrefix="0" xfId="0">
      <alignment horizontal="center" vertical="center"/>
    </xf>
    <xf numFmtId="0" fontId="26" fillId="16" borderId="9" applyAlignment="1" pivotButton="0" quotePrefix="0" xfId="0">
      <alignment horizontal="left" vertical="center" wrapText="1"/>
    </xf>
    <xf numFmtId="0" fontId="26" fillId="16" borderId="9" applyAlignment="1" pivotButton="0" quotePrefix="0" xfId="0">
      <alignment vertical="center"/>
    </xf>
    <xf numFmtId="0" fontId="26" fillId="16" borderId="9" applyAlignment="1" pivotButton="0" quotePrefix="0" xfId="0">
      <alignment vertical="center" wrapText="1"/>
    </xf>
    <xf numFmtId="0" fontId="26" fillId="16" borderId="0" applyAlignment="1" pivotButton="0" quotePrefix="0" xfId="0">
      <alignment horizontal="center" vertical="center"/>
    </xf>
    <xf numFmtId="165" fontId="26" fillId="16" borderId="0" applyAlignment="1" pivotButton="0" quotePrefix="0" xfId="0">
      <alignment horizontal="center" vertical="center"/>
    </xf>
    <xf numFmtId="3" fontId="26" fillId="16" borderId="0" applyAlignment="1" pivotButton="0" quotePrefix="0" xfId="0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28" fillId="0" borderId="10" applyAlignment="1" pivotButton="0" quotePrefix="0" xfId="0">
      <alignment horizontal="left" vertical="center" wrapText="1"/>
    </xf>
    <xf numFmtId="0" fontId="28" fillId="0" borderId="10" applyAlignment="1" pivotButton="0" quotePrefix="0" xfId="0">
      <alignment vertical="center" wrapText="1"/>
    </xf>
    <xf numFmtId="164" fontId="28" fillId="0" borderId="10" applyAlignment="1" pivotButton="0" quotePrefix="0" xfId="0">
      <alignment horizontal="left" vertical="center" wrapText="1"/>
    </xf>
    <xf numFmtId="0" fontId="28" fillId="0" borderId="10" applyAlignment="1" pivotButton="0" quotePrefix="0" xfId="0">
      <alignment horizontal="center" vertical="center" wrapText="1"/>
    </xf>
    <xf numFmtId="9" fontId="28" fillId="0" borderId="10" applyAlignment="1" pivotButton="0" quotePrefix="0" xfId="0">
      <alignment horizontal="center" vertical="center" wrapText="1"/>
    </xf>
    <xf numFmtId="9" fontId="29" fillId="0" borderId="11" applyAlignment="1" pivotButton="0" quotePrefix="0" xfId="0">
      <alignment horizontal="center" vertical="center"/>
    </xf>
    <xf numFmtId="165" fontId="29" fillId="0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0" fontId="29" fillId="17" borderId="12" applyAlignment="1" pivotButton="0" quotePrefix="0" xfId="0">
      <alignment horizontal="center" vertical="center"/>
    </xf>
    <xf numFmtId="0" fontId="29" fillId="18" borderId="12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0" fontId="29" fillId="19" borderId="12" applyAlignment="1" pivotButton="0" quotePrefix="0" xfId="0">
      <alignment horizontal="center" vertical="center"/>
    </xf>
    <xf numFmtId="0" fontId="29" fillId="20" borderId="12" applyAlignment="1" pivotButton="0" quotePrefix="0" xfId="0">
      <alignment horizontal="center" vertical="center"/>
    </xf>
    <xf numFmtId="0" fontId="29" fillId="21" borderId="12" applyAlignment="1" pivotButton="0" quotePrefix="0" xfId="0">
      <alignment horizontal="center" vertical="center"/>
    </xf>
    <xf numFmtId="0" fontId="29" fillId="0" borderId="13" applyAlignment="1" pivotButton="0" quotePrefix="0" xfId="0">
      <alignment horizontal="center" vertical="center"/>
    </xf>
    <xf numFmtId="9" fontId="29" fillId="0" borderId="14" applyAlignment="1" pivotButton="0" quotePrefix="0" xfId="0">
      <alignment horizontal="center" vertical="center"/>
    </xf>
    <xf numFmtId="165" fontId="29" fillId="0" borderId="15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18" borderId="15" applyAlignment="1" pivotButton="0" quotePrefix="0" xfId="0">
      <alignment horizontal="center" vertical="center"/>
    </xf>
    <xf numFmtId="0" fontId="29" fillId="18" borderId="15" applyAlignment="1" pivotButton="0" quotePrefix="0" xfId="0">
      <alignment horizontal="center" vertical="center"/>
    </xf>
    <xf numFmtId="0" fontId="29" fillId="17" borderId="15" applyAlignment="1" pivotButton="0" quotePrefix="0" xfId="0">
      <alignment horizontal="center" vertical="center"/>
    </xf>
    <xf numFmtId="0" fontId="29" fillId="19" borderId="15" applyAlignment="1" pivotButton="0" quotePrefix="0" xfId="0">
      <alignment horizontal="center" vertical="center"/>
    </xf>
    <xf numFmtId="0" fontId="29" fillId="20" borderId="15" applyAlignment="1" pivotButton="0" quotePrefix="0" xfId="0">
      <alignment horizontal="center" vertical="center"/>
    </xf>
    <xf numFmtId="0" fontId="29" fillId="21" borderId="15" applyAlignment="1" pivotButton="0" quotePrefix="0" xfId="0">
      <alignment horizontal="center" vertical="center"/>
    </xf>
    <xf numFmtId="0" fontId="29" fillId="0" borderId="16" applyAlignment="1" pivotButton="0" quotePrefix="0" xfId="0">
      <alignment horizontal="center" vertical="center"/>
    </xf>
    <xf numFmtId="9" fontId="28" fillId="22" borderId="1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vertical="center" wrapText="1"/>
    </xf>
    <xf numFmtId="164" fontId="2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center" vertical="center" wrapText="1"/>
    </xf>
    <xf numFmtId="9" fontId="28" fillId="0" borderId="0" applyAlignment="1" pivotButton="0" quotePrefix="0" xfId="0">
      <alignment horizontal="center" vertical="center" wrapText="1"/>
    </xf>
    <xf numFmtId="9" fontId="29" fillId="0" borderId="17" applyAlignment="1" pivotButton="0" quotePrefix="0" xfId="0">
      <alignment horizontal="center" vertical="center"/>
    </xf>
    <xf numFmtId="165" fontId="29" fillId="0" borderId="18" applyAlignment="1" pivotButton="0" quotePrefix="0" xfId="0">
      <alignment horizontal="center" vertical="center"/>
    </xf>
    <xf numFmtId="0" fontId="29" fillId="0" borderId="18" applyAlignment="1" pivotButton="0" quotePrefix="0" xfId="0">
      <alignment horizontal="center" vertical="center"/>
    </xf>
    <xf numFmtId="0" fontId="29" fillId="18" borderId="18" applyAlignment="1" pivotButton="0" quotePrefix="0" xfId="0">
      <alignment horizontal="center" vertical="center"/>
    </xf>
    <xf numFmtId="0" fontId="29" fillId="17" borderId="18" applyAlignment="1" pivotButton="0" quotePrefix="0" xfId="0">
      <alignment horizontal="center" vertical="center"/>
    </xf>
    <xf numFmtId="0" fontId="29" fillId="19" borderId="18" applyAlignment="1" pivotButton="0" quotePrefix="0" xfId="0">
      <alignment horizontal="center" vertical="center"/>
    </xf>
    <xf numFmtId="0" fontId="29" fillId="20" borderId="18" applyAlignment="1" pivotButton="0" quotePrefix="0" xfId="0">
      <alignment horizontal="center" vertical="center"/>
    </xf>
    <xf numFmtId="0" fontId="29" fillId="21" borderId="18" applyAlignment="1" pivotButton="0" quotePrefix="0" xfId="0">
      <alignment horizontal="center" vertical="center"/>
    </xf>
    <xf numFmtId="0" fontId="29" fillId="0" borderId="19" applyAlignment="1" pivotButton="0" quotePrefix="0" xfId="0">
      <alignment horizontal="center" vertical="center"/>
    </xf>
    <xf numFmtId="0" fontId="29" fillId="13" borderId="12" applyAlignment="1" pivotButton="0" quotePrefix="0" xfId="0">
      <alignment horizontal="center" vertical="center"/>
    </xf>
    <xf numFmtId="0" fontId="30" fillId="13" borderId="15" pivotButton="0" quotePrefix="0" xfId="0"/>
    <xf numFmtId="0" fontId="30" fillId="13" borderId="20" pivotButton="0" quotePrefix="0" xfId="0"/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22" fillId="7" borderId="21" applyAlignment="1" pivotButton="0" quotePrefix="0" xfId="0">
      <alignment horizontal="center" vertical="center"/>
    </xf>
    <xf numFmtId="0" fontId="0" fillId="0" borderId="4" pivotButton="0" quotePrefix="0" xfId="0"/>
    <xf numFmtId="0" fontId="22" fillId="8" borderId="2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2" fillId="9" borderId="22" applyAlignment="1" pivotButton="0" quotePrefix="0" xfId="0">
      <alignment horizontal="center" vertical="center"/>
    </xf>
    <xf numFmtId="0" fontId="22" fillId="10" borderId="22" applyAlignment="1" pivotButton="0" quotePrefix="0" xfId="0">
      <alignment horizontal="center" vertical="center"/>
    </xf>
    <xf numFmtId="0" fontId="22" fillId="11" borderId="22" applyAlignment="1" pivotButton="0" quotePrefix="0" xfId="0">
      <alignment horizontal="center" vertical="center"/>
    </xf>
    <xf numFmtId="167" fontId="26" fillId="16" borderId="9" applyAlignment="1" pivotButton="0" quotePrefix="0" xfId="0">
      <alignment vertical="center" wrapText="1"/>
    </xf>
    <xf numFmtId="9" fontId="26" fillId="16" borderId="9" applyAlignment="1" pivotButton="0" quotePrefix="0" xfId="0">
      <alignment vertical="center" wrapText="1"/>
    </xf>
    <xf numFmtId="0" fontId="26" fillId="0" borderId="0" applyAlignment="1" pivotButton="0" quotePrefix="0" xfId="0">
      <alignment horizontal="center" vertical="center"/>
    </xf>
    <xf numFmtId="165" fontId="26" fillId="0" borderId="0" applyAlignment="1" pivotButton="0" quotePrefix="0" xfId="0">
      <alignment horizontal="center" vertical="center"/>
    </xf>
    <xf numFmtId="3" fontId="26" fillId="0" borderId="0" applyAlignment="1" pivotButton="0" quotePrefix="0" xfId="0">
      <alignment horizontal="center" vertical="center"/>
    </xf>
    <xf numFmtId="0" fontId="26" fillId="23" borderId="0" applyAlignment="1" pivotButton="0" quotePrefix="0" xfId="0">
      <alignment horizontal="center" vertical="center"/>
    </xf>
    <xf numFmtId="167" fontId="28" fillId="0" borderId="10" applyAlignment="1" pivotButton="0" quotePrefix="0" xfId="0">
      <alignment horizontal="left" vertical="center" wrapText="1"/>
    </xf>
    <xf numFmtId="0" fontId="29" fillId="24" borderId="12" applyAlignment="1" pivotButton="0" quotePrefix="0" xfId="0">
      <alignment horizontal="center" vertical="center"/>
    </xf>
    <xf numFmtId="165" fontId="26" fillId="23" borderId="0" applyAlignment="1" pivotButton="0" quotePrefix="0" xfId="0">
      <alignment horizontal="center" vertical="center"/>
    </xf>
    <xf numFmtId="3" fontId="26" fillId="23" borderId="0" applyAlignment="1" pivotButton="0" quotePrefix="0" xfId="0">
      <alignment horizontal="center" vertical="center"/>
    </xf>
    <xf numFmtId="9" fontId="29" fillId="25" borderId="11" applyAlignment="1" pivotButton="0" quotePrefix="0" xfId="0">
      <alignment horizontal="center" vertical="center"/>
    </xf>
    <xf numFmtId="165" fontId="29" fillId="25" borderId="12" applyAlignment="1" pivotButton="0" quotePrefix="0" xfId="0">
      <alignment horizontal="center" vertical="center"/>
    </xf>
    <xf numFmtId="0" fontId="29" fillId="25" borderId="1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D85C6"/>
    <outlinePr summaryBelow="0" summaryRight="0"/>
    <pageSetUpPr/>
  </sheetPr>
  <dimension ref="A1:BQ86"/>
  <sheetViews>
    <sheetView showGridLines="0" workbookViewId="0">
      <selection activeCell="A1" sqref="A1"/>
    </sheetView>
  </sheetViews>
  <sheetFormatPr baseColWidth="8" defaultColWidth="12.63" defaultRowHeight="15.75" customHeight="1" outlineLevelRow="1"/>
  <cols>
    <col width="4.25" customWidth="1" style="108" min="1" max="1"/>
    <col width="11.13" customWidth="1" style="108" min="2" max="2"/>
    <col width="27.75" customWidth="1" style="108" min="3" max="3"/>
    <col width="12.13" customWidth="1" style="108" min="4" max="4"/>
    <col width="12.5" customWidth="1" style="108" min="5" max="6"/>
    <col width="8.630000000000001" customWidth="1" style="108" min="7" max="7"/>
    <col width="3" customWidth="1" style="108" min="9" max="68"/>
    <col width="3.38" customWidth="1" style="108" min="69" max="69"/>
  </cols>
  <sheetData>
    <row r="1" ht="21" customHeight="1" s="108">
      <c r="A1" s="1" t="n"/>
      <c r="B1" s="2" t="n"/>
      <c r="C1" s="3" t="n"/>
      <c r="D1" s="3" t="n"/>
      <c r="E1" s="3" t="n"/>
      <c r="F1" s="4" t="n"/>
      <c r="G1" s="4" t="n"/>
      <c r="H1" s="3" t="n"/>
      <c r="I1" s="5" t="n"/>
      <c r="J1" s="6" t="n"/>
      <c r="K1" s="9" t="n"/>
      <c r="L1" s="8" t="n"/>
      <c r="M1" s="9" t="n"/>
      <c r="N1" s="9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 ht="21" customHeight="1" s="108">
      <c r="A2" s="1" t="n"/>
      <c r="B2" s="11" t="inlineStr">
        <is>
          <t>WBS</t>
        </is>
      </c>
      <c r="C2" s="109" t="n"/>
      <c r="D2" s="109" t="n"/>
      <c r="E2" s="109" t="n"/>
      <c r="F2" s="109" t="n"/>
      <c r="G2" s="109" t="n"/>
      <c r="H2" s="13" t="n"/>
      <c r="I2" s="14" t="inlineStr">
        <is>
          <t>Smartsheet 
도움말 ➜</t>
        </is>
      </c>
      <c r="J2" s="109" t="n"/>
      <c r="K2" s="109" t="n"/>
      <c r="L2" s="109" t="n"/>
      <c r="M2" s="109" t="n"/>
      <c r="N2" s="109" t="n"/>
      <c r="O2" s="15" t="inlineStr">
        <is>
          <t>갠트 차트의 시각적 타임라인을 사용하면 각 작업의 세부정보는 물론 프로젝트 간의 상호 의존성을 확인할 수 있습니다.</t>
        </is>
      </c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  <c r="AA2" s="109" t="n"/>
      <c r="AB2" s="109" t="n"/>
      <c r="AC2" s="109" t="n"/>
      <c r="AD2" s="109" t="n"/>
      <c r="AE2" s="109" t="n"/>
      <c r="AF2" s="109" t="n"/>
      <c r="AG2" s="109" t="n"/>
      <c r="AH2" s="16" t="n"/>
      <c r="AI2" s="16" t="n"/>
      <c r="AJ2" s="16" t="n"/>
      <c r="AK2" s="16" t="n"/>
      <c r="AL2" s="16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</row>
    <row r="3" ht="21" customHeight="1" s="108">
      <c r="A3" s="1" t="n"/>
      <c r="B3" s="17" t="n"/>
      <c r="C3" s="17" t="n"/>
      <c r="D3" s="18" t="n"/>
      <c r="E3" s="18" t="n"/>
      <c r="F3" s="18" t="n"/>
      <c r="G3" s="18" t="n"/>
      <c r="H3" s="18" t="n"/>
      <c r="I3" s="19" t="n"/>
      <c r="J3" s="19" t="n"/>
      <c r="K3" s="19" t="n"/>
      <c r="L3" s="19" t="n"/>
      <c r="M3" s="20" t="n"/>
      <c r="N3" s="20" t="n"/>
      <c r="O3" s="20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</row>
    <row r="4" ht="21" customHeight="1" s="108">
      <c r="A4" s="1" t="n"/>
      <c r="B4" s="21" t="inlineStr">
        <is>
          <t>프로젝트 이름</t>
        </is>
      </c>
      <c r="C4" s="110" t="n"/>
      <c r="D4" s="23" t="inlineStr">
        <is>
          <t>A-COPilot — 다중 에이전트 CS 자동화 플랫폼</t>
        </is>
      </c>
      <c r="E4" s="110" t="n"/>
      <c r="F4" s="110" t="n"/>
      <c r="G4" s="110" t="n"/>
      <c r="H4" s="24" t="n"/>
      <c r="I4" s="21" t="inlineStr">
        <is>
          <t>회사명</t>
        </is>
      </c>
      <c r="J4" s="110" t="n"/>
      <c r="K4" s="110" t="n"/>
      <c r="L4" s="110" t="n"/>
      <c r="M4" s="110" t="n"/>
      <c r="N4" s="110" t="n"/>
      <c r="O4" s="110" t="n"/>
      <c r="P4" s="25" t="inlineStr">
        <is>
          <t>SK네트웍스 Family AI 캠프 32기</t>
        </is>
      </c>
      <c r="Q4" s="110" t="n"/>
      <c r="R4" s="110" t="n"/>
      <c r="S4" s="110" t="n"/>
      <c r="T4" s="110" t="n"/>
      <c r="U4" s="110" t="n"/>
      <c r="V4" s="110" t="n"/>
      <c r="W4" s="110" t="n"/>
      <c r="X4" s="110" t="n"/>
      <c r="Y4" s="110" t="n"/>
      <c r="Z4" s="110" t="n"/>
      <c r="AA4" s="110" t="n"/>
      <c r="AB4" s="110" t="n"/>
      <c r="AC4" s="26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</row>
    <row r="5" ht="21" customHeight="1" s="108">
      <c r="A5" s="1" t="n"/>
      <c r="B5" s="21" t="inlineStr">
        <is>
          <t>프로젝트 관리자</t>
        </is>
      </c>
      <c r="C5" s="110" t="n"/>
      <c r="D5" s="27" t="inlineStr">
        <is>
          <t>SKN32 Final 6팀</t>
        </is>
      </c>
      <c r="E5" s="110" t="n"/>
      <c r="F5" s="110" t="n"/>
      <c r="G5" s="110" t="n"/>
      <c r="H5" s="28" t="n"/>
      <c r="I5" s="21" t="inlineStr">
        <is>
          <t>날짜</t>
        </is>
      </c>
      <c r="J5" s="110" t="n"/>
      <c r="K5" s="110" t="n"/>
      <c r="L5" s="110" t="n"/>
      <c r="M5" s="110" t="n"/>
      <c r="N5" s="110" t="n"/>
      <c r="O5" s="110" t="n"/>
      <c r="P5" s="29" t="n">
        <v>46268</v>
      </c>
      <c r="Q5" s="110" t="n"/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  <c r="AA5" s="110" t="n"/>
      <c r="AB5" s="30" t="n"/>
      <c r="AC5" s="26" t="n"/>
      <c r="AD5" s="1" t="n"/>
      <c r="AE5" s="1" t="n"/>
      <c r="AF5" s="1" t="n"/>
      <c r="AG5" s="1" t="n"/>
      <c r="AH5" s="1" t="n"/>
      <c r="AI5" s="1" t="n"/>
      <c r="AJ5" s="1" t="n"/>
      <c r="AK5" s="1" t="n"/>
      <c r="AL5" s="3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</row>
    <row r="6" ht="21" customHeight="1" s="108">
      <c r="A6" s="32" t="n"/>
      <c r="B6" s="33" t="n"/>
      <c r="C6" s="33" t="n"/>
      <c r="D6" s="33" t="n"/>
      <c r="E6" s="33" t="n"/>
      <c r="F6" s="33" t="n"/>
      <c r="G6" s="34" t="n"/>
      <c r="H6" s="34" t="n"/>
      <c r="I6" s="33" t="n"/>
      <c r="J6" s="33" t="n"/>
      <c r="K6" s="33" t="n"/>
      <c r="L6" s="33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32" t="n"/>
      <c r="BF6" s="32" t="n"/>
      <c r="BG6" s="32" t="n"/>
      <c r="BH6" s="32" t="n"/>
      <c r="BI6" s="32" t="n"/>
      <c r="BJ6" s="32" t="n"/>
      <c r="BK6" s="32" t="n"/>
      <c r="BL6" s="32" t="n"/>
      <c r="BM6" s="32" t="n"/>
      <c r="BN6" s="32" t="n"/>
      <c r="BO6" s="32" t="n"/>
      <c r="BP6" s="32" t="n"/>
      <c r="BQ6" s="32" t="n"/>
    </row>
    <row r="7" ht="21" customHeight="1" s="108">
      <c r="A7" s="32" t="n"/>
      <c r="B7" s="33" t="n"/>
      <c r="C7" s="33" t="n"/>
      <c r="D7" s="33" t="n"/>
      <c r="E7" s="33" t="n"/>
      <c r="F7" s="33" t="n"/>
      <c r="G7" s="34" t="n"/>
      <c r="H7" s="34" t="n"/>
      <c r="I7" s="33" t="n"/>
      <c r="J7" s="33" t="n"/>
      <c r="K7" s="33" t="n"/>
      <c r="L7" s="33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32" t="n"/>
      <c r="AG7" s="32" t="n"/>
      <c r="AH7" s="32" t="n"/>
      <c r="AI7" s="32" t="n"/>
      <c r="AJ7" s="32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32" t="n"/>
      <c r="BF7" s="32" t="n"/>
      <c r="BG7" s="32" t="n"/>
      <c r="BH7" s="32" t="n"/>
      <c r="BI7" s="32" t="n"/>
      <c r="BJ7" s="32" t="n"/>
      <c r="BK7" s="32" t="n"/>
      <c r="BL7" s="32" t="n"/>
      <c r="BM7" s="32" t="n"/>
      <c r="BN7" s="32" t="n"/>
      <c r="BO7" s="32" t="n"/>
      <c r="BP7" s="32" t="n"/>
      <c r="BQ7" s="32" t="n"/>
    </row>
    <row r="8" ht="17.25" customHeight="1" s="108">
      <c r="A8" s="35" t="n"/>
      <c r="B8" s="36" t="inlineStr">
        <is>
          <t>WBS 번호</t>
        </is>
      </c>
      <c r="C8" s="36" t="inlineStr">
        <is>
          <t>작업 제목</t>
        </is>
      </c>
      <c r="D8" s="36" t="inlineStr">
        <is>
          <t>작업 소유자</t>
        </is>
      </c>
      <c r="E8" s="36" t="inlineStr">
        <is>
          <t>시작일</t>
        </is>
      </c>
      <c r="F8" s="36" t="inlineStr">
        <is>
          <t>마감일</t>
        </is>
      </c>
      <c r="G8" s="36" t="inlineStr">
        <is>
          <t>기간</t>
        </is>
      </c>
      <c r="H8" s="36" t="inlineStr">
        <is>
          <t>작업 완료 비율</t>
        </is>
      </c>
      <c r="I8" s="37" t="inlineStr">
        <is>
          <t>1단계</t>
        </is>
      </c>
      <c r="X8" s="38" t="inlineStr">
        <is>
          <t>2단계</t>
        </is>
      </c>
      <c r="AM8" s="39" t="inlineStr">
        <is>
          <t>3단계</t>
        </is>
      </c>
      <c r="BB8" s="111" t="inlineStr">
        <is>
          <t>4단계</t>
        </is>
      </c>
      <c r="BP8" s="112" t="n"/>
      <c r="BQ8" s="32" t="n"/>
    </row>
    <row r="9" ht="17.25" customHeight="1" s="108">
      <c r="A9" s="42" t="n"/>
      <c r="I9" s="113" t="inlineStr">
        <is>
          <t>1주  08/17</t>
        </is>
      </c>
      <c r="J9" s="114" t="n"/>
      <c r="K9" s="114" t="n"/>
      <c r="L9" s="114" t="n"/>
      <c r="M9" s="115" t="n"/>
      <c r="N9" s="113" t="inlineStr">
        <is>
          <t>2주  08/24</t>
        </is>
      </c>
      <c r="O9" s="114" t="n"/>
      <c r="P9" s="114" t="n"/>
      <c r="Q9" s="114" t="n"/>
      <c r="R9" s="115" t="n"/>
      <c r="S9" s="113" t="inlineStr">
        <is>
          <t>3주  08/31</t>
        </is>
      </c>
      <c r="T9" s="114" t="n"/>
      <c r="U9" s="114" t="n"/>
      <c r="V9" s="114" t="n"/>
      <c r="W9" s="115" t="n"/>
      <c r="X9" s="116" t="inlineStr">
        <is>
          <t>4주  09/07</t>
        </is>
      </c>
      <c r="Y9" s="114" t="n"/>
      <c r="Z9" s="114" t="n"/>
      <c r="AA9" s="114" t="n"/>
      <c r="AB9" s="115" t="n"/>
      <c r="AC9" s="116" t="inlineStr">
        <is>
          <t>5주  09/14</t>
        </is>
      </c>
      <c r="AD9" s="114" t="n"/>
      <c r="AE9" s="114" t="n"/>
      <c r="AF9" s="114" t="n"/>
      <c r="AG9" s="115" t="n"/>
      <c r="AH9" s="116" t="inlineStr">
        <is>
          <t>6주  09/21</t>
        </is>
      </c>
      <c r="AI9" s="114" t="n"/>
      <c r="AJ9" s="114" t="n"/>
      <c r="AK9" s="114" t="n"/>
      <c r="AL9" s="115" t="n"/>
      <c r="AM9" s="117" t="inlineStr">
        <is>
          <t>7주  09/28</t>
        </is>
      </c>
      <c r="AN9" s="114" t="n"/>
      <c r="AO9" s="114" t="n"/>
      <c r="AP9" s="114" t="n"/>
      <c r="AQ9" s="115" t="n"/>
      <c r="AR9" s="117" t="inlineStr">
        <is>
          <t>8주  10/05</t>
        </is>
      </c>
      <c r="AS9" s="114" t="n"/>
      <c r="AT9" s="114" t="n"/>
      <c r="AU9" s="114" t="n"/>
      <c r="AV9" s="115" t="n"/>
      <c r="AW9" s="117" t="inlineStr">
        <is>
          <t>9주  10/12</t>
        </is>
      </c>
      <c r="AX9" s="114" t="n"/>
      <c r="AY9" s="114" t="n"/>
      <c r="AZ9" s="114" t="n"/>
      <c r="BA9" s="115" t="n"/>
      <c r="BB9" s="118" t="inlineStr">
        <is>
          <t>10주  10/19</t>
        </is>
      </c>
      <c r="BC9" s="114" t="n"/>
      <c r="BD9" s="114" t="n"/>
      <c r="BE9" s="114" t="n"/>
      <c r="BF9" s="115" t="n"/>
      <c r="BG9" s="118" t="inlineStr">
        <is>
          <t>11주  10/26</t>
        </is>
      </c>
      <c r="BH9" s="114" t="n"/>
      <c r="BI9" s="114" t="n"/>
      <c r="BJ9" s="114" t="n"/>
      <c r="BK9" s="115" t="n"/>
      <c r="BL9" s="118" t="inlineStr">
        <is>
          <t>12주  11/02</t>
        </is>
      </c>
      <c r="BM9" s="114" t="n"/>
      <c r="BN9" s="114" t="n"/>
      <c r="BO9" s="114" t="n"/>
      <c r="BP9" s="115" t="n"/>
      <c r="BQ9" s="42" t="n"/>
    </row>
    <row r="10" ht="17.25" customHeight="1" s="108">
      <c r="A10" s="49" t="n"/>
      <c r="I10" s="50" t="inlineStr">
        <is>
          <t>월</t>
        </is>
      </c>
      <c r="J10" s="50" t="inlineStr">
        <is>
          <t>화</t>
        </is>
      </c>
      <c r="K10" s="50" t="inlineStr">
        <is>
          <t>수</t>
        </is>
      </c>
      <c r="L10" s="50" t="inlineStr">
        <is>
          <t>목</t>
        </is>
      </c>
      <c r="M10" s="50" t="inlineStr">
        <is>
          <t>금</t>
        </is>
      </c>
      <c r="N10" s="50" t="inlineStr">
        <is>
          <t>월</t>
        </is>
      </c>
      <c r="O10" s="50" t="inlineStr">
        <is>
          <t>화</t>
        </is>
      </c>
      <c r="P10" s="50" t="inlineStr">
        <is>
          <t>수</t>
        </is>
      </c>
      <c r="Q10" s="50" t="inlineStr">
        <is>
          <t>목</t>
        </is>
      </c>
      <c r="R10" s="50" t="inlineStr">
        <is>
          <t>금</t>
        </is>
      </c>
      <c r="S10" s="50" t="inlineStr">
        <is>
          <t>월</t>
        </is>
      </c>
      <c r="T10" s="50" t="inlineStr">
        <is>
          <t>화</t>
        </is>
      </c>
      <c r="U10" s="50" t="inlineStr">
        <is>
          <t>수</t>
        </is>
      </c>
      <c r="V10" s="50" t="inlineStr">
        <is>
          <t>목</t>
        </is>
      </c>
      <c r="W10" s="50" t="inlineStr">
        <is>
          <t>금</t>
        </is>
      </c>
      <c r="X10" s="51" t="inlineStr">
        <is>
          <t>월</t>
        </is>
      </c>
      <c r="Y10" s="51" t="inlineStr">
        <is>
          <t>화</t>
        </is>
      </c>
      <c r="Z10" s="51" t="inlineStr">
        <is>
          <t>수</t>
        </is>
      </c>
      <c r="AA10" s="51" t="inlineStr">
        <is>
          <t>목</t>
        </is>
      </c>
      <c r="AB10" s="51" t="inlineStr">
        <is>
          <t>금</t>
        </is>
      </c>
      <c r="AC10" s="51" t="inlineStr">
        <is>
          <t>월</t>
        </is>
      </c>
      <c r="AD10" s="51" t="inlineStr">
        <is>
          <t>화</t>
        </is>
      </c>
      <c r="AE10" s="51" t="inlineStr">
        <is>
          <t>수</t>
        </is>
      </c>
      <c r="AF10" s="51" t="inlineStr">
        <is>
          <t>목</t>
        </is>
      </c>
      <c r="AG10" s="51" t="inlineStr">
        <is>
          <t>금</t>
        </is>
      </c>
      <c r="AH10" s="51" t="inlineStr">
        <is>
          <t>월</t>
        </is>
      </c>
      <c r="AI10" s="51" t="inlineStr">
        <is>
          <t>화</t>
        </is>
      </c>
      <c r="AJ10" s="51" t="inlineStr">
        <is>
          <t>수</t>
        </is>
      </c>
      <c r="AK10" s="51" t="inlineStr">
        <is>
          <t>목</t>
        </is>
      </c>
      <c r="AL10" s="51" t="inlineStr">
        <is>
          <t>금</t>
        </is>
      </c>
      <c r="AM10" s="52" t="inlineStr">
        <is>
          <t>월</t>
        </is>
      </c>
      <c r="AN10" s="52" t="inlineStr">
        <is>
          <t>화</t>
        </is>
      </c>
      <c r="AO10" s="52" t="inlineStr">
        <is>
          <t>수</t>
        </is>
      </c>
      <c r="AP10" s="52" t="inlineStr">
        <is>
          <t>목</t>
        </is>
      </c>
      <c r="AQ10" s="52" t="inlineStr">
        <is>
          <t>금</t>
        </is>
      </c>
      <c r="AR10" s="52" t="inlineStr">
        <is>
          <t>월</t>
        </is>
      </c>
      <c r="AS10" s="52" t="inlineStr">
        <is>
          <t>화</t>
        </is>
      </c>
      <c r="AT10" s="52" t="inlineStr">
        <is>
          <t>수</t>
        </is>
      </c>
      <c r="AU10" s="52" t="inlineStr">
        <is>
          <t>목</t>
        </is>
      </c>
      <c r="AV10" s="52" t="inlineStr">
        <is>
          <t>금</t>
        </is>
      </c>
      <c r="AW10" s="52" t="inlineStr">
        <is>
          <t>월</t>
        </is>
      </c>
      <c r="AX10" s="52" t="inlineStr">
        <is>
          <t>화</t>
        </is>
      </c>
      <c r="AY10" s="52" t="inlineStr">
        <is>
          <t>수</t>
        </is>
      </c>
      <c r="AZ10" s="52" t="inlineStr">
        <is>
          <t>목</t>
        </is>
      </c>
      <c r="BA10" s="52" t="inlineStr">
        <is>
          <t>금</t>
        </is>
      </c>
      <c r="BB10" s="53" t="inlineStr">
        <is>
          <t>월</t>
        </is>
      </c>
      <c r="BC10" s="53" t="inlineStr">
        <is>
          <t>화</t>
        </is>
      </c>
      <c r="BD10" s="53" t="inlineStr">
        <is>
          <t>수</t>
        </is>
      </c>
      <c r="BE10" s="53" t="inlineStr">
        <is>
          <t>목</t>
        </is>
      </c>
      <c r="BF10" s="53" t="inlineStr">
        <is>
          <t>금</t>
        </is>
      </c>
      <c r="BG10" s="53" t="inlineStr">
        <is>
          <t>월</t>
        </is>
      </c>
      <c r="BH10" s="53" t="inlineStr">
        <is>
          <t>화</t>
        </is>
      </c>
      <c r="BI10" s="53" t="inlineStr">
        <is>
          <t>수</t>
        </is>
      </c>
      <c r="BJ10" s="53" t="inlineStr">
        <is>
          <t>목</t>
        </is>
      </c>
      <c r="BK10" s="53" t="inlineStr">
        <is>
          <t>금</t>
        </is>
      </c>
      <c r="BL10" s="53" t="inlineStr">
        <is>
          <t>월</t>
        </is>
      </c>
      <c r="BM10" s="53" t="inlineStr">
        <is>
          <t>화</t>
        </is>
      </c>
      <c r="BN10" s="53" t="inlineStr">
        <is>
          <t>수</t>
        </is>
      </c>
      <c r="BO10" s="53" t="inlineStr">
        <is>
          <t>목</t>
        </is>
      </c>
      <c r="BP10" s="53" t="inlineStr">
        <is>
          <t>금</t>
        </is>
      </c>
      <c r="BQ10" s="49" t="n"/>
    </row>
    <row r="11" ht="21" customHeight="1" s="108">
      <c r="A11" s="32" t="n"/>
      <c r="B11" s="54" t="inlineStr">
        <is>
          <t>1.0</t>
        </is>
      </c>
      <c r="C11" s="55" t="inlineStr">
        <is>
          <t>기획</t>
        </is>
      </c>
      <c r="D11" s="56" t="n"/>
      <c r="E11" s="119" t="n">
        <v>46262</v>
      </c>
      <c r="F11" s="119" t="n">
        <v>46268</v>
      </c>
      <c r="G11" s="56">
        <f>DAYS360(E11,F11)</f>
        <v/>
      </c>
      <c r="H11" s="120" t="n">
        <v>0.5</v>
      </c>
      <c r="I11" s="121" t="n"/>
      <c r="J11" s="122" t="n"/>
      <c r="K11" s="123" t="n"/>
      <c r="L11" s="123" t="n"/>
      <c r="M11" s="121" t="n"/>
      <c r="N11" s="121" t="n"/>
      <c r="O11" s="121" t="n"/>
      <c r="P11" s="121" t="n"/>
      <c r="Q11" s="121" t="n"/>
      <c r="R11" s="124" t="n"/>
      <c r="S11" s="124" t="n"/>
      <c r="T11" s="124" t="n"/>
      <c r="U11" s="124" t="n"/>
      <c r="V11" s="124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  <c r="AK11" s="121" t="n"/>
      <c r="AL11" s="121" t="n"/>
      <c r="AM11" s="121" t="n"/>
      <c r="AN11" s="121" t="n"/>
      <c r="AO11" s="121" t="n"/>
      <c r="AP11" s="121" t="n"/>
      <c r="AQ11" s="121" t="n"/>
      <c r="AR11" s="121" t="n"/>
      <c r="AS11" s="121" t="n"/>
      <c r="AT11" s="121" t="n"/>
      <c r="AU11" s="121" t="n"/>
      <c r="AV11" s="121" t="n"/>
      <c r="AW11" s="121" t="n"/>
      <c r="AX11" s="121" t="n"/>
      <c r="AY11" s="121" t="n"/>
      <c r="AZ11" s="121" t="n"/>
      <c r="BA11" s="121" t="n"/>
      <c r="BB11" s="121" t="n"/>
      <c r="BC11" s="121" t="n"/>
      <c r="BD11" s="121" t="n"/>
      <c r="BE11" s="121" t="n"/>
      <c r="BF11" s="121" t="n"/>
      <c r="BG11" s="121" t="n"/>
      <c r="BH11" s="121" t="n"/>
      <c r="BI11" s="121" t="n"/>
      <c r="BJ11" s="121" t="n"/>
      <c r="BK11" s="121" t="n"/>
      <c r="BL11" s="121" t="n"/>
      <c r="BM11" s="121" t="n"/>
      <c r="BN11" s="121" t="n"/>
      <c r="BO11" s="121" t="n"/>
      <c r="BP11" s="121" t="n"/>
      <c r="BQ11" s="32" t="n"/>
    </row>
    <row r="12" outlineLevel="1" ht="17.25" customHeight="1" s="108">
      <c r="A12" s="61" t="n"/>
      <c r="B12" s="62" t="inlineStr">
        <is>
          <t>1.1</t>
        </is>
      </c>
      <c r="C12" s="63" t="inlineStr">
        <is>
          <t>WBS 작성</t>
        </is>
      </c>
      <c r="D12" s="63" t="inlineStr">
        <is>
          <t>전체</t>
        </is>
      </c>
      <c r="E12" s="125" t="n">
        <v>46262</v>
      </c>
      <c r="F12" s="125" t="n">
        <v>46268</v>
      </c>
      <c r="G12" s="65">
        <f>DAYS360(E12,F12)</f>
        <v/>
      </c>
      <c r="H12" s="66" t="n">
        <v>0.5</v>
      </c>
      <c r="I12" s="67" t="n"/>
      <c r="J12" s="68" t="n"/>
      <c r="K12" s="73" t="n"/>
      <c r="L12" s="73" t="n"/>
      <c r="M12" s="73" t="n"/>
      <c r="N12" s="73" t="n"/>
      <c r="O12" s="73" t="n"/>
      <c r="P12" s="73" t="n"/>
      <c r="Q12" s="73" t="n"/>
      <c r="R12" s="126" t="n"/>
      <c r="S12" s="126" t="n"/>
      <c r="T12" s="126" t="n"/>
      <c r="U12" s="126" t="n"/>
      <c r="V12" s="126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  <c r="BP12" s="77" t="n"/>
      <c r="BQ12" s="61" t="n"/>
    </row>
    <row r="13" outlineLevel="1" ht="17.25" customHeight="1" s="108">
      <c r="A13" s="61" t="n"/>
      <c r="B13" s="62" t="inlineStr">
        <is>
          <t>1.2</t>
        </is>
      </c>
      <c r="C13" s="63" t="inlineStr">
        <is>
          <t>프로젝트 기획서 작성</t>
        </is>
      </c>
      <c r="D13" s="63" t="inlineStr">
        <is>
          <t>전체</t>
        </is>
      </c>
      <c r="E13" s="125" t="n">
        <v>46262</v>
      </c>
      <c r="F13" s="125" t="n">
        <v>46268</v>
      </c>
      <c r="G13" s="65">
        <f>DAYS360(E13,F13)</f>
        <v/>
      </c>
      <c r="H13" s="66" t="n">
        <v>0.5</v>
      </c>
      <c r="I13" s="67" t="n"/>
      <c r="J13" s="68" t="n"/>
      <c r="K13" s="73" t="n"/>
      <c r="L13" s="73" t="n"/>
      <c r="M13" s="73" t="n"/>
      <c r="N13" s="73" t="n"/>
      <c r="O13" s="73" t="n"/>
      <c r="P13" s="73" t="n"/>
      <c r="Q13" s="73" t="n"/>
      <c r="R13" s="126" t="n"/>
      <c r="S13" s="126" t="n"/>
      <c r="T13" s="126" t="n"/>
      <c r="U13" s="126" t="n"/>
      <c r="V13" s="126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  <c r="BP13" s="77" t="n"/>
      <c r="BQ13" s="61" t="n"/>
    </row>
    <row r="14" outlineLevel="1" ht="17.25" customHeight="1" s="108">
      <c r="A14" s="61" t="n"/>
      <c r="B14" s="62" t="inlineStr">
        <is>
          <t>1.3</t>
        </is>
      </c>
      <c r="C14" s="63" t="inlineStr">
        <is>
          <t>요구사항 정의서 작성</t>
        </is>
      </c>
      <c r="D14" s="63" t="inlineStr">
        <is>
          <t>전체</t>
        </is>
      </c>
      <c r="E14" s="125" t="n">
        <v>46262</v>
      </c>
      <c r="F14" s="125" t="n">
        <v>46268</v>
      </c>
      <c r="G14" s="65">
        <f>DAYS360(E14,F14)</f>
        <v/>
      </c>
      <c r="H14" s="66" t="n">
        <v>0.5</v>
      </c>
      <c r="I14" s="67" t="n"/>
      <c r="J14" s="68" t="n"/>
      <c r="K14" s="73" t="n"/>
      <c r="L14" s="73" t="n"/>
      <c r="M14" s="73" t="n"/>
      <c r="N14" s="73" t="n"/>
      <c r="O14" s="73" t="n"/>
      <c r="P14" s="73" t="n"/>
      <c r="Q14" s="73" t="n"/>
      <c r="R14" s="126" t="n"/>
      <c r="S14" s="126" t="n"/>
      <c r="T14" s="126" t="n"/>
      <c r="U14" s="126" t="n"/>
      <c r="V14" s="126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3" t="n"/>
      <c r="AO14" s="73" t="n"/>
      <c r="AP14" s="73" t="n"/>
      <c r="AQ14" s="73" t="n"/>
      <c r="AR14" s="73" t="n"/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3" t="n"/>
      <c r="BF14" s="73" t="n"/>
      <c r="BG14" s="73" t="n"/>
      <c r="BH14" s="73" t="n"/>
      <c r="BI14" s="73" t="n"/>
      <c r="BJ14" s="73" t="n"/>
      <c r="BK14" s="73" t="n"/>
      <c r="BL14" s="73" t="n"/>
      <c r="BM14" s="73" t="n"/>
      <c r="BN14" s="73" t="n"/>
      <c r="BO14" s="73" t="n"/>
      <c r="BP14" s="77" t="n"/>
      <c r="BQ14" s="61" t="n"/>
    </row>
    <row r="15" outlineLevel="1" ht="17.25" customHeight="1" s="108">
      <c r="A15" s="61" t="n"/>
      <c r="B15" s="54" t="inlineStr">
        <is>
          <t>2.0</t>
        </is>
      </c>
      <c r="C15" s="55" t="inlineStr">
        <is>
          <t>데이터 수집 및 저장</t>
        </is>
      </c>
      <c r="D15" s="56" t="n"/>
      <c r="E15" s="119" t="n">
        <v>46269</v>
      </c>
      <c r="F15" s="119" t="n">
        <v>46275</v>
      </c>
      <c r="G15" s="56">
        <f>DAYS360(E15,F15)</f>
        <v/>
      </c>
      <c r="H15" s="120" t="n">
        <v>0</v>
      </c>
      <c r="I15" s="121" t="n"/>
      <c r="J15" s="122" t="n"/>
      <c r="K15" s="123" t="n"/>
      <c r="L15" s="123" t="n"/>
      <c r="M15" s="121" t="n"/>
      <c r="N15" s="121" t="n"/>
      <c r="O15" s="121" t="n"/>
      <c r="P15" s="121" t="n"/>
      <c r="Q15" s="121" t="n"/>
      <c r="R15" s="121" t="n"/>
      <c r="S15" s="121" t="n"/>
      <c r="T15" s="121" t="n"/>
      <c r="U15" s="121" t="n"/>
      <c r="V15" s="121" t="n"/>
      <c r="W15" s="124" t="n"/>
      <c r="X15" s="124" t="n"/>
      <c r="Y15" s="124" t="n"/>
      <c r="Z15" s="124" t="n"/>
      <c r="AA15" s="124" t="n"/>
      <c r="AB15" s="121" t="n"/>
      <c r="AC15" s="121" t="n"/>
      <c r="AD15" s="121" t="n"/>
      <c r="AE15" s="121" t="n"/>
      <c r="AF15" s="121" t="n"/>
      <c r="AG15" s="121" t="n"/>
      <c r="AH15" s="121" t="n"/>
      <c r="AI15" s="121" t="n"/>
      <c r="AJ15" s="121" t="n"/>
      <c r="AK15" s="121" t="n"/>
      <c r="AL15" s="121" t="n"/>
      <c r="AM15" s="121" t="n"/>
      <c r="AN15" s="121" t="n"/>
      <c r="AO15" s="121" t="n"/>
      <c r="AP15" s="121" t="n"/>
      <c r="AQ15" s="121" t="n"/>
      <c r="AR15" s="121" t="n"/>
      <c r="AS15" s="121" t="n"/>
      <c r="AT15" s="121" t="n"/>
      <c r="AU15" s="121" t="n"/>
      <c r="AV15" s="121" t="n"/>
      <c r="AW15" s="121" t="n"/>
      <c r="AX15" s="121" t="n"/>
      <c r="AY15" s="121" t="n"/>
      <c r="AZ15" s="121" t="n"/>
      <c r="BA15" s="121" t="n"/>
      <c r="BB15" s="121" t="n"/>
      <c r="BC15" s="121" t="n"/>
      <c r="BD15" s="121" t="n"/>
      <c r="BE15" s="121" t="n"/>
      <c r="BF15" s="121" t="n"/>
      <c r="BG15" s="121" t="n"/>
      <c r="BH15" s="121" t="n"/>
      <c r="BI15" s="121" t="n"/>
      <c r="BJ15" s="121" t="n"/>
      <c r="BK15" s="121" t="n"/>
      <c r="BL15" s="121" t="n"/>
      <c r="BM15" s="121" t="n"/>
      <c r="BN15" s="121" t="n"/>
      <c r="BO15" s="121" t="n"/>
      <c r="BP15" s="121" t="n"/>
      <c r="BQ15" s="61" t="n"/>
    </row>
    <row r="16" outlineLevel="1" ht="17.25" customHeight="1" s="108">
      <c r="A16" s="61" t="n"/>
      <c r="B16" s="62" t="inlineStr">
        <is>
          <t>2.1</t>
        </is>
      </c>
      <c r="C16" s="63" t="inlineStr">
        <is>
          <t>수집 데이터 보고서 작성</t>
        </is>
      </c>
      <c r="D16" s="63" t="inlineStr">
        <is>
          <t>서유현</t>
        </is>
      </c>
      <c r="E16" s="125" t="n">
        <v>46269</v>
      </c>
      <c r="F16" s="125" t="n">
        <v>46275</v>
      </c>
      <c r="G16" s="65">
        <f>DAYS360(E16,F16)</f>
        <v/>
      </c>
      <c r="H16" s="66" t="n">
        <v>0</v>
      </c>
      <c r="I16" s="67" t="n"/>
      <c r="J16" s="68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126" t="n"/>
      <c r="X16" s="126" t="n"/>
      <c r="Y16" s="126" t="n"/>
      <c r="Z16" s="126" t="n"/>
      <c r="AA16" s="126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  <c r="BJ16" s="73" t="n"/>
      <c r="BK16" s="73" t="n"/>
      <c r="BL16" s="73" t="n"/>
      <c r="BM16" s="73" t="n"/>
      <c r="BN16" s="73" t="n"/>
      <c r="BO16" s="73" t="n"/>
      <c r="BP16" s="77" t="n"/>
      <c r="BQ16" s="61" t="n"/>
    </row>
    <row r="17" outlineLevel="1" ht="17.25" customHeight="1" s="108">
      <c r="A17" s="61" t="n"/>
      <c r="B17" s="62" t="inlineStr">
        <is>
          <t>2.2</t>
        </is>
      </c>
      <c r="C17" s="63" t="inlineStr">
        <is>
          <t>데이터베이스·저장소 설계 문서 작성</t>
        </is>
      </c>
      <c r="D17" s="63" t="inlineStr">
        <is>
          <t>최연우</t>
        </is>
      </c>
      <c r="E17" s="125" t="n">
        <v>46269</v>
      </c>
      <c r="F17" s="125" t="n">
        <v>46275</v>
      </c>
      <c r="G17" s="65">
        <f>DAYS360(E17,F17)</f>
        <v/>
      </c>
      <c r="H17" s="66" t="n">
        <v>0</v>
      </c>
      <c r="I17" s="67" t="n"/>
      <c r="J17" s="68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126" t="n"/>
      <c r="X17" s="126" t="n"/>
      <c r="Y17" s="126" t="n"/>
      <c r="Z17" s="126" t="n"/>
      <c r="AA17" s="126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3" t="n"/>
      <c r="BF17" s="73" t="n"/>
      <c r="BG17" s="73" t="n"/>
      <c r="BH17" s="73" t="n"/>
      <c r="BI17" s="73" t="n"/>
      <c r="BJ17" s="73" t="n"/>
      <c r="BK17" s="73" t="n"/>
      <c r="BL17" s="73" t="n"/>
      <c r="BM17" s="73" t="n"/>
      <c r="BN17" s="73" t="n"/>
      <c r="BO17" s="73" t="n"/>
      <c r="BP17" s="77" t="n"/>
      <c r="BQ17" s="61" t="n"/>
    </row>
    <row r="18" outlineLevel="1" ht="17.25" customHeight="1" s="108">
      <c r="A18" s="61" t="n"/>
      <c r="B18" s="54" t="inlineStr">
        <is>
          <t>3.0</t>
        </is>
      </c>
      <c r="C18" s="55" t="inlineStr">
        <is>
          <t>데이터 전처리</t>
        </is>
      </c>
      <c r="D18" s="56" t="n"/>
      <c r="E18" s="119" t="n">
        <v>46276</v>
      </c>
      <c r="F18" s="119" t="n">
        <v>46282</v>
      </c>
      <c r="G18" s="56">
        <f>DAYS360(E18,F18)</f>
        <v/>
      </c>
      <c r="H18" s="120" t="n">
        <v>0</v>
      </c>
      <c r="I18" s="121" t="n"/>
      <c r="J18" s="122" t="n"/>
      <c r="K18" s="123" t="n"/>
      <c r="L18" s="123" t="n"/>
      <c r="M18" s="121" t="n"/>
      <c r="N18" s="121" t="n"/>
      <c r="O18" s="121" t="n"/>
      <c r="P18" s="121" t="n"/>
      <c r="Q18" s="121" t="n"/>
      <c r="R18" s="121" t="n"/>
      <c r="S18" s="121" t="n"/>
      <c r="T18" s="121" t="n"/>
      <c r="U18" s="121" t="n"/>
      <c r="V18" s="121" t="n"/>
      <c r="W18" s="121" t="n"/>
      <c r="X18" s="121" t="n"/>
      <c r="Y18" s="121" t="n"/>
      <c r="Z18" s="121" t="n"/>
      <c r="AA18" s="121" t="n"/>
      <c r="AB18" s="124" t="n"/>
      <c r="AC18" s="124" t="n"/>
      <c r="AD18" s="124" t="n"/>
      <c r="AE18" s="124" t="n"/>
      <c r="AF18" s="124" t="n"/>
      <c r="AG18" s="121" t="n"/>
      <c r="AH18" s="121" t="n"/>
      <c r="AI18" s="121" t="n"/>
      <c r="AJ18" s="121" t="n"/>
      <c r="AK18" s="121" t="n"/>
      <c r="AL18" s="121" t="n"/>
      <c r="AM18" s="121" t="n"/>
      <c r="AN18" s="121" t="n"/>
      <c r="AO18" s="121" t="n"/>
      <c r="AP18" s="121" t="n"/>
      <c r="AQ18" s="121" t="n"/>
      <c r="AR18" s="121" t="n"/>
      <c r="AS18" s="121" t="n"/>
      <c r="AT18" s="121" t="n"/>
      <c r="AU18" s="121" t="n"/>
      <c r="AV18" s="121" t="n"/>
      <c r="AW18" s="121" t="n"/>
      <c r="AX18" s="121" t="n"/>
      <c r="AY18" s="121" t="n"/>
      <c r="AZ18" s="121" t="n"/>
      <c r="BA18" s="121" t="n"/>
      <c r="BB18" s="121" t="n"/>
      <c r="BC18" s="121" t="n"/>
      <c r="BD18" s="121" t="n"/>
      <c r="BE18" s="121" t="n"/>
      <c r="BF18" s="121" t="n"/>
      <c r="BG18" s="121" t="n"/>
      <c r="BH18" s="121" t="n"/>
      <c r="BI18" s="121" t="n"/>
      <c r="BJ18" s="121" t="n"/>
      <c r="BK18" s="121" t="n"/>
      <c r="BL18" s="121" t="n"/>
      <c r="BM18" s="121" t="n"/>
      <c r="BN18" s="121" t="n"/>
      <c r="BO18" s="121" t="n"/>
      <c r="BP18" s="121" t="n"/>
      <c r="BQ18" s="61" t="n"/>
    </row>
    <row r="19" ht="21" customHeight="1" s="108">
      <c r="A19" s="32" t="n"/>
      <c r="B19" s="62" t="inlineStr">
        <is>
          <t>3.1</t>
        </is>
      </c>
      <c r="C19" s="63" t="inlineStr">
        <is>
          <t>데이터 전처리 결과서 작성</t>
        </is>
      </c>
      <c r="D19" s="63" t="inlineStr">
        <is>
          <t>서유현</t>
        </is>
      </c>
      <c r="E19" s="125" t="n">
        <v>46276</v>
      </c>
      <c r="F19" s="125" t="n">
        <v>46282</v>
      </c>
      <c r="G19" s="65">
        <f>DAYS360(E19,F19)</f>
        <v/>
      </c>
      <c r="H19" s="66" t="n">
        <v>0</v>
      </c>
      <c r="I19" s="67" t="n"/>
      <c r="J19" s="68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126" t="n"/>
      <c r="AC19" s="126" t="n"/>
      <c r="AD19" s="126" t="n"/>
      <c r="AE19" s="126" t="n"/>
      <c r="AF19" s="126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3" t="n"/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3" t="n"/>
      <c r="BF19" s="73" t="n"/>
      <c r="BG19" s="73" t="n"/>
      <c r="BH19" s="73" t="n"/>
      <c r="BI19" s="73" t="n"/>
      <c r="BJ19" s="73" t="n"/>
      <c r="BK19" s="73" t="n"/>
      <c r="BL19" s="73" t="n"/>
      <c r="BM19" s="73" t="n"/>
      <c r="BN19" s="73" t="n"/>
      <c r="BO19" s="73" t="n"/>
      <c r="BP19" s="77" t="n"/>
      <c r="BQ19" s="32" t="n"/>
    </row>
    <row r="20" outlineLevel="1" ht="17.25" customHeight="1" s="108">
      <c r="A20" s="61" t="n"/>
      <c r="B20" s="62" t="inlineStr">
        <is>
          <t>3.2</t>
        </is>
      </c>
      <c r="C20" s="63" t="inlineStr">
        <is>
          <t>머신러닝·딥러닝 학습결과서 작성</t>
        </is>
      </c>
      <c r="D20" s="63" t="inlineStr">
        <is>
          <t>송채영</t>
        </is>
      </c>
      <c r="E20" s="125" t="n">
        <v>46276</v>
      </c>
      <c r="F20" s="125" t="n">
        <v>46282</v>
      </c>
      <c r="G20" s="65">
        <f>DAYS360(E20,F20)</f>
        <v/>
      </c>
      <c r="H20" s="66" t="n">
        <v>0</v>
      </c>
      <c r="I20" s="67" t="n"/>
      <c r="J20" s="68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126" t="n"/>
      <c r="AC20" s="126" t="n"/>
      <c r="AD20" s="126" t="n"/>
      <c r="AE20" s="126" t="n"/>
      <c r="AF20" s="126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  <c r="BP20" s="77" t="n"/>
      <c r="BQ20" s="61" t="n"/>
    </row>
    <row r="21" outlineLevel="1" ht="17.25" customHeight="1" s="108">
      <c r="A21" s="61" t="n"/>
      <c r="B21" s="62" t="inlineStr">
        <is>
          <t>3.3</t>
        </is>
      </c>
      <c r="C21" s="63" t="inlineStr">
        <is>
          <t>학습한 ML·DL 모델 정리</t>
        </is>
      </c>
      <c r="D21" s="63" t="inlineStr">
        <is>
          <t>송채영</t>
        </is>
      </c>
      <c r="E21" s="125" t="n">
        <v>46276</v>
      </c>
      <c r="F21" s="125" t="n">
        <v>46282</v>
      </c>
      <c r="G21" s="65">
        <f>DAYS360(E21,F21)</f>
        <v/>
      </c>
      <c r="H21" s="66" t="n">
        <v>0</v>
      </c>
      <c r="I21" s="67" t="n"/>
      <c r="J21" s="68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126" t="n"/>
      <c r="AC21" s="126" t="n"/>
      <c r="AD21" s="126" t="n"/>
      <c r="AE21" s="126" t="n"/>
      <c r="AF21" s="126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  <c r="BJ21" s="73" t="n"/>
      <c r="BK21" s="73" t="n"/>
      <c r="BL21" s="73" t="n"/>
      <c r="BM21" s="73" t="n"/>
      <c r="BN21" s="73" t="n"/>
      <c r="BO21" s="73" t="n"/>
      <c r="BP21" s="77" t="n"/>
      <c r="BQ21" s="61" t="n"/>
    </row>
    <row r="22" outlineLevel="1" ht="17.25" customHeight="1" s="108">
      <c r="A22" s="61" t="n"/>
      <c r="B22" s="54" t="inlineStr">
        <is>
          <t>4.0</t>
        </is>
      </c>
      <c r="C22" s="55" t="inlineStr">
        <is>
          <t>발표 및 시연</t>
        </is>
      </c>
      <c r="D22" s="56" t="n"/>
      <c r="E22" s="119" t="n">
        <v>46276</v>
      </c>
      <c r="F22" s="119" t="n">
        <v>46319</v>
      </c>
      <c r="G22" s="56">
        <f>DAYS360(E22,F22)</f>
        <v/>
      </c>
      <c r="H22" s="120" t="n">
        <v>0</v>
      </c>
      <c r="I22" s="121" t="n"/>
      <c r="J22" s="122" t="n"/>
      <c r="K22" s="123" t="n"/>
      <c r="L22" s="123" t="n"/>
      <c r="M22" s="121" t="n"/>
      <c r="N22" s="121" t="n"/>
      <c r="O22" s="121" t="n"/>
      <c r="P22" s="121" t="n"/>
      <c r="Q22" s="121" t="n"/>
      <c r="R22" s="121" t="n"/>
      <c r="S22" s="121" t="n"/>
      <c r="T22" s="121" t="n"/>
      <c r="U22" s="121" t="n"/>
      <c r="V22" s="121" t="n"/>
      <c r="W22" s="121" t="n"/>
      <c r="X22" s="121" t="n"/>
      <c r="Y22" s="121" t="n"/>
      <c r="Z22" s="121" t="n"/>
      <c r="AA22" s="121" t="n"/>
      <c r="AB22" s="124" t="n"/>
      <c r="AC22" s="124" t="n"/>
      <c r="AD22" s="124" t="n"/>
      <c r="AE22" s="124" t="n"/>
      <c r="AF22" s="124" t="n"/>
      <c r="AG22" s="124" t="n"/>
      <c r="AH22" s="124" t="n"/>
      <c r="AI22" s="124" t="n"/>
      <c r="AJ22" s="124" t="n"/>
      <c r="AK22" s="124" t="n"/>
      <c r="AL22" s="124" t="n"/>
      <c r="AM22" s="124" t="n"/>
      <c r="AN22" s="124" t="n"/>
      <c r="AO22" s="124" t="n"/>
      <c r="AP22" s="124" t="n"/>
      <c r="AQ22" s="124" t="n"/>
      <c r="AR22" s="124" t="n"/>
      <c r="AS22" s="124" t="n"/>
      <c r="AT22" s="124" t="n"/>
      <c r="AU22" s="124" t="n"/>
      <c r="AV22" s="124" t="n"/>
      <c r="AW22" s="124" t="n"/>
      <c r="AX22" s="124" t="n"/>
      <c r="AY22" s="124" t="n"/>
      <c r="AZ22" s="124" t="n"/>
      <c r="BA22" s="124" t="n"/>
      <c r="BB22" s="124" t="n"/>
      <c r="BC22" s="124" t="n"/>
      <c r="BD22" s="124" t="n"/>
      <c r="BE22" s="124" t="n"/>
      <c r="BF22" s="124" t="n"/>
      <c r="BG22" s="121" t="n"/>
      <c r="BH22" s="121" t="n"/>
      <c r="BI22" s="121" t="n"/>
      <c r="BJ22" s="121" t="n"/>
      <c r="BK22" s="121" t="n"/>
      <c r="BL22" s="121" t="n"/>
      <c r="BM22" s="121" t="n"/>
      <c r="BN22" s="121" t="n"/>
      <c r="BO22" s="121" t="n"/>
      <c r="BP22" s="121" t="n"/>
      <c r="BQ22" s="61" t="n"/>
    </row>
    <row r="23" outlineLevel="1" ht="17.25" customHeight="1" s="108">
      <c r="A23" s="61" t="n"/>
      <c r="B23" s="62" t="inlineStr">
        <is>
          <t>4.1</t>
        </is>
      </c>
      <c r="C23" s="63" t="inlineStr">
        <is>
          <t>중간 발표 PT 자료 작성</t>
        </is>
      </c>
      <c r="D23" s="63" t="inlineStr">
        <is>
          <t>전체</t>
        </is>
      </c>
      <c r="E23" s="125" t="n">
        <v>46276</v>
      </c>
      <c r="F23" s="125" t="n">
        <v>46282</v>
      </c>
      <c r="G23" s="65">
        <f>DAYS360(E23,F23)</f>
        <v/>
      </c>
      <c r="H23" s="66" t="n">
        <v>0</v>
      </c>
      <c r="I23" s="67" t="n"/>
      <c r="J23" s="68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126" t="n"/>
      <c r="AC23" s="126" t="n"/>
      <c r="AD23" s="126" t="n"/>
      <c r="AE23" s="126" t="n"/>
      <c r="AF23" s="126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  <c r="AP23" s="73" t="n"/>
      <c r="AQ23" s="73" t="n"/>
      <c r="AR23" s="73" t="n"/>
      <c r="AS23" s="73" t="n"/>
      <c r="AT23" s="73" t="n"/>
      <c r="AU23" s="73" t="n"/>
      <c r="AV23" s="73" t="n"/>
      <c r="AW23" s="73" t="n"/>
      <c r="AX23" s="73" t="n"/>
      <c r="AY23" s="73" t="n"/>
      <c r="AZ23" s="73" t="n"/>
      <c r="BA23" s="73" t="n"/>
      <c r="BB23" s="73" t="n"/>
      <c r="BC23" s="73" t="n"/>
      <c r="BD23" s="73" t="n"/>
      <c r="BE23" s="73" t="n"/>
      <c r="BF23" s="73" t="n"/>
      <c r="BG23" s="73" t="n"/>
      <c r="BH23" s="73" t="n"/>
      <c r="BI23" s="73" t="n"/>
      <c r="BJ23" s="73" t="n"/>
      <c r="BK23" s="73" t="n"/>
      <c r="BL23" s="73" t="n"/>
      <c r="BM23" s="73" t="n"/>
      <c r="BN23" s="73" t="n"/>
      <c r="BO23" s="73" t="n"/>
      <c r="BP23" s="77" t="n"/>
      <c r="BQ23" s="61" t="n"/>
    </row>
    <row r="24" ht="21" customHeight="1" s="108">
      <c r="A24" s="32" t="n"/>
      <c r="B24" s="62" t="inlineStr">
        <is>
          <t>4.2</t>
        </is>
      </c>
      <c r="C24" s="63" t="inlineStr">
        <is>
          <t>최종 발표 PT 자료 작성</t>
        </is>
      </c>
      <c r="D24" s="63" t="inlineStr">
        <is>
          <t>전체</t>
        </is>
      </c>
      <c r="E24" s="125" t="n">
        <v>46316</v>
      </c>
      <c r="F24" s="125" t="n">
        <v>46319</v>
      </c>
      <c r="G24" s="65">
        <f>DAYS360(E24,F24)</f>
        <v/>
      </c>
      <c r="H24" s="66" t="n">
        <v>0</v>
      </c>
      <c r="I24" s="67" t="n"/>
      <c r="J24" s="68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126" t="n"/>
      <c r="BE24" s="126" t="n"/>
      <c r="BF24" s="126" t="n"/>
      <c r="BG24" s="73" t="n"/>
      <c r="BH24" s="73" t="n"/>
      <c r="BI24" s="73" t="n"/>
      <c r="BJ24" s="73" t="n"/>
      <c r="BK24" s="73" t="n"/>
      <c r="BL24" s="73" t="n"/>
      <c r="BM24" s="73" t="n"/>
      <c r="BN24" s="73" t="n"/>
      <c r="BO24" s="73" t="n"/>
      <c r="BP24" s="77" t="n"/>
      <c r="BQ24" s="32" t="n"/>
    </row>
    <row r="25" outlineLevel="1" ht="17.25" customHeight="1" s="108">
      <c r="A25" s="61" t="n"/>
      <c r="B25" s="62" t="inlineStr">
        <is>
          <t>4.3</t>
        </is>
      </c>
      <c r="C25" s="63" t="inlineStr">
        <is>
          <t>프로젝트 개발 소스코드 정리</t>
        </is>
      </c>
      <c r="D25" s="63" t="inlineStr">
        <is>
          <t>전체</t>
        </is>
      </c>
      <c r="E25" s="125" t="n">
        <v>46316</v>
      </c>
      <c r="F25" s="125" t="n">
        <v>46319</v>
      </c>
      <c r="G25" s="65">
        <f>DAYS360(E25,F25)</f>
        <v/>
      </c>
      <c r="H25" s="66" t="n">
        <v>0</v>
      </c>
      <c r="I25" s="67" t="n"/>
      <c r="J25" s="68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  <c r="AS25" s="73" t="n"/>
      <c r="AT25" s="73" t="n"/>
      <c r="AU25" s="73" t="n"/>
      <c r="AV25" s="73" t="n"/>
      <c r="AW25" s="73" t="n"/>
      <c r="AX25" s="73" t="n"/>
      <c r="AY25" s="73" t="n"/>
      <c r="AZ25" s="73" t="n"/>
      <c r="BA25" s="73" t="n"/>
      <c r="BB25" s="73" t="n"/>
      <c r="BC25" s="73" t="n"/>
      <c r="BD25" s="126" t="n"/>
      <c r="BE25" s="126" t="n"/>
      <c r="BF25" s="126" t="n"/>
      <c r="BG25" s="73" t="n"/>
      <c r="BH25" s="73" t="n"/>
      <c r="BI25" s="73" t="n"/>
      <c r="BJ25" s="73" t="n"/>
      <c r="BK25" s="73" t="n"/>
      <c r="BL25" s="73" t="n"/>
      <c r="BM25" s="73" t="n"/>
      <c r="BN25" s="73" t="n"/>
      <c r="BO25" s="73" t="n"/>
      <c r="BP25" s="77" t="n"/>
      <c r="BQ25" s="61" t="n"/>
    </row>
    <row r="26" outlineLevel="1" ht="17.25" customHeight="1" s="108">
      <c r="A26" s="61" t="n"/>
      <c r="B26" s="62" t="inlineStr">
        <is>
          <t>4.4</t>
        </is>
      </c>
      <c r="C26" s="63" t="inlineStr">
        <is>
          <t>시연영상 제작</t>
        </is>
      </c>
      <c r="D26" s="63" t="inlineStr">
        <is>
          <t>검증&amp;프론트</t>
        </is>
      </c>
      <c r="E26" s="125" t="n">
        <v>46316</v>
      </c>
      <c r="F26" s="125" t="n">
        <v>46319</v>
      </c>
      <c r="G26" s="65">
        <f>DAYS360(E26,F26)</f>
        <v/>
      </c>
      <c r="H26" s="66" t="n">
        <v>0</v>
      </c>
      <c r="I26" s="67" t="n"/>
      <c r="J26" s="68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126" t="n"/>
      <c r="BE26" s="126" t="n"/>
      <c r="BF26" s="126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  <c r="BP26" s="77" t="n"/>
      <c r="BQ26" s="61" t="n"/>
    </row>
    <row r="27" outlineLevel="1" ht="17.25" customHeight="1" s="108">
      <c r="A27" s="61" t="n"/>
      <c r="B27" s="54" t="inlineStr">
        <is>
          <t>5.0</t>
        </is>
      </c>
      <c r="C27" s="55" t="inlineStr">
        <is>
          <t>모델링 및 평가</t>
        </is>
      </c>
      <c r="D27" s="56" t="n"/>
      <c r="E27" s="119" t="n">
        <v>46294</v>
      </c>
      <c r="F27" s="119" t="n">
        <v>46301</v>
      </c>
      <c r="G27" s="56">
        <f>DAYS360(E27,F27)</f>
        <v/>
      </c>
      <c r="H27" s="120" t="n">
        <v>0</v>
      </c>
      <c r="I27" s="121" t="n"/>
      <c r="J27" s="122" t="n"/>
      <c r="K27" s="123" t="n"/>
      <c r="L27" s="123" t="n"/>
      <c r="M27" s="121" t="n"/>
      <c r="N27" s="121" t="n"/>
      <c r="O27" s="121" t="n"/>
      <c r="P27" s="121" t="n"/>
      <c r="Q27" s="121" t="n"/>
      <c r="R27" s="121" t="n"/>
      <c r="S27" s="121" t="n"/>
      <c r="T27" s="121" t="n"/>
      <c r="U27" s="121" t="n"/>
      <c r="V27" s="121" t="n"/>
      <c r="W27" s="121" t="n"/>
      <c r="X27" s="121" t="n"/>
      <c r="Y27" s="121" t="n"/>
      <c r="Z27" s="121" t="n"/>
      <c r="AA27" s="121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  <c r="AK27" s="121" t="n"/>
      <c r="AL27" s="121" t="n"/>
      <c r="AM27" s="121" t="n"/>
      <c r="AN27" s="124" t="n"/>
      <c r="AO27" s="124" t="n"/>
      <c r="AP27" s="124" t="n"/>
      <c r="AQ27" s="124" t="n"/>
      <c r="AR27" s="124" t="n"/>
      <c r="AS27" s="124" t="n"/>
      <c r="AT27" s="121" t="n"/>
      <c r="AU27" s="121" t="n"/>
      <c r="AV27" s="121" t="n"/>
      <c r="AW27" s="121" t="n"/>
      <c r="AX27" s="121" t="n"/>
      <c r="AY27" s="121" t="n"/>
      <c r="AZ27" s="121" t="n"/>
      <c r="BA27" s="121" t="n"/>
      <c r="BB27" s="121" t="n"/>
      <c r="BC27" s="121" t="n"/>
      <c r="BD27" s="121" t="n"/>
      <c r="BE27" s="121" t="n"/>
      <c r="BF27" s="121" t="n"/>
      <c r="BG27" s="121" t="n"/>
      <c r="BH27" s="121" t="n"/>
      <c r="BI27" s="121" t="n"/>
      <c r="BJ27" s="121" t="n"/>
      <c r="BK27" s="121" t="n"/>
      <c r="BL27" s="121" t="n"/>
      <c r="BM27" s="121" t="n"/>
      <c r="BN27" s="121" t="n"/>
      <c r="BO27" s="121" t="n"/>
      <c r="BP27" s="121" t="n"/>
      <c r="BQ27" s="61" t="n"/>
    </row>
    <row r="28" outlineLevel="1" ht="17.25" customHeight="1" s="108">
      <c r="A28" s="61" t="n"/>
      <c r="B28" s="62" t="inlineStr">
        <is>
          <t>5.1</t>
        </is>
      </c>
      <c r="C28" s="63" t="inlineStr">
        <is>
          <t>벡터DB·GraphDB 구축 결과서 작성</t>
        </is>
      </c>
      <c r="D28" s="63" t="inlineStr">
        <is>
          <t>검증&amp;프론트</t>
        </is>
      </c>
      <c r="E28" s="125" t="n">
        <v>46294</v>
      </c>
      <c r="F28" s="125" t="n">
        <v>46301</v>
      </c>
      <c r="G28" s="65">
        <f>DAYS360(E28,F28)</f>
        <v/>
      </c>
      <c r="H28" s="66" t="n">
        <v>0</v>
      </c>
      <c r="I28" s="67" t="n"/>
      <c r="J28" s="68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  <c r="AM28" s="73" t="n"/>
      <c r="AN28" s="126" t="n"/>
      <c r="AO28" s="126" t="n"/>
      <c r="AP28" s="126" t="n"/>
      <c r="AQ28" s="126" t="n"/>
      <c r="AR28" s="126" t="n"/>
      <c r="AS28" s="126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3" t="n"/>
      <c r="BD28" s="73" t="n"/>
      <c r="BE28" s="73" t="n"/>
      <c r="BF28" s="73" t="n"/>
      <c r="BG28" s="73" t="n"/>
      <c r="BH28" s="73" t="n"/>
      <c r="BI28" s="73" t="n"/>
      <c r="BJ28" s="73" t="n"/>
      <c r="BK28" s="73" t="n"/>
      <c r="BL28" s="73" t="n"/>
      <c r="BM28" s="73" t="n"/>
      <c r="BN28" s="73" t="n"/>
      <c r="BO28" s="73" t="n"/>
      <c r="BP28" s="77" t="n"/>
      <c r="BQ28" s="61" t="n"/>
    </row>
    <row r="29" outlineLevel="1" ht="17.25" customHeight="1" s="108">
      <c r="A29" s="61" t="n"/>
      <c r="B29" s="62" t="inlineStr">
        <is>
          <t>5.2</t>
        </is>
      </c>
      <c r="C29" s="63" t="inlineStr">
        <is>
          <t>AI 시스템 아키텍처(멀티 에이전트) 작성</t>
        </is>
      </c>
      <c r="D29" s="63" t="inlineStr">
        <is>
          <t>최연우</t>
        </is>
      </c>
      <c r="E29" s="125" t="n">
        <v>46294</v>
      </c>
      <c r="F29" s="125" t="n">
        <v>46301</v>
      </c>
      <c r="G29" s="65">
        <f>DAYS360(E29,F29)</f>
        <v/>
      </c>
      <c r="H29" s="66" t="n">
        <v>0</v>
      </c>
      <c r="I29" s="67" t="n"/>
      <c r="J29" s="68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126" t="n"/>
      <c r="AO29" s="126" t="n"/>
      <c r="AP29" s="126" t="n"/>
      <c r="AQ29" s="126" t="n"/>
      <c r="AR29" s="126" t="n"/>
      <c r="AS29" s="126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3" t="n"/>
      <c r="BD29" s="73" t="n"/>
      <c r="BE29" s="73" t="n"/>
      <c r="BF29" s="73" t="n"/>
      <c r="BG29" s="73" t="n"/>
      <c r="BH29" s="73" t="n"/>
      <c r="BI29" s="73" t="n"/>
      <c r="BJ29" s="73" t="n"/>
      <c r="BK29" s="73" t="n"/>
      <c r="BL29" s="73" t="n"/>
      <c r="BM29" s="73" t="n"/>
      <c r="BN29" s="73" t="n"/>
      <c r="BO29" s="73" t="n"/>
      <c r="BP29" s="77" t="n"/>
      <c r="BQ29" s="61" t="n"/>
    </row>
    <row r="30" outlineLevel="1" ht="17.25" customHeight="1" s="108">
      <c r="A30" s="61" t="n"/>
      <c r="B30" s="62" t="inlineStr">
        <is>
          <t>5.3</t>
        </is>
      </c>
      <c r="C30" s="63" t="inlineStr">
        <is>
          <t>멀티 에이전트 테스트 계획 및 결과 보고서 작성</t>
        </is>
      </c>
      <c r="D30" s="63" t="inlineStr">
        <is>
          <t>최연우</t>
        </is>
      </c>
      <c r="E30" s="125" t="n">
        <v>46294</v>
      </c>
      <c r="F30" s="125" t="n">
        <v>46301</v>
      </c>
      <c r="G30" s="65">
        <f>DAYS360(E30,F30)</f>
        <v/>
      </c>
      <c r="H30" s="66" t="n">
        <v>0</v>
      </c>
      <c r="I30" s="67" t="n"/>
      <c r="J30" s="68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  <c r="AM30" s="73" t="n"/>
      <c r="AN30" s="126" t="n"/>
      <c r="AO30" s="126" t="n"/>
      <c r="AP30" s="126" t="n"/>
      <c r="AQ30" s="126" t="n"/>
      <c r="AR30" s="126" t="n"/>
      <c r="AS30" s="126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3" t="n"/>
      <c r="BD30" s="73" t="n"/>
      <c r="BE30" s="73" t="n"/>
      <c r="BF30" s="73" t="n"/>
      <c r="BG30" s="73" t="n"/>
      <c r="BH30" s="73" t="n"/>
      <c r="BI30" s="73" t="n"/>
      <c r="BJ30" s="73" t="n"/>
      <c r="BK30" s="73" t="n"/>
      <c r="BL30" s="73" t="n"/>
      <c r="BM30" s="73" t="n"/>
      <c r="BN30" s="73" t="n"/>
      <c r="BO30" s="73" t="n"/>
      <c r="BP30" s="77" t="n"/>
      <c r="BQ30" s="61" t="n"/>
    </row>
    <row r="31" ht="21" customHeight="1" s="108">
      <c r="A31" s="32" t="n"/>
      <c r="B31" s="62" t="inlineStr">
        <is>
          <t>5.4</t>
        </is>
      </c>
      <c r="C31" s="63" t="inlineStr">
        <is>
          <t>자체 sLLM 인공지능 정리(주제 3·4 해당 시)</t>
        </is>
      </c>
      <c r="D31" s="63" t="inlineStr">
        <is>
          <t>송채영</t>
        </is>
      </c>
      <c r="E31" s="125" t="n">
        <v>46294</v>
      </c>
      <c r="F31" s="125" t="n">
        <v>46301</v>
      </c>
      <c r="G31" s="65">
        <f>DAYS360(E31,F31)</f>
        <v/>
      </c>
      <c r="H31" s="66" t="n">
        <v>0</v>
      </c>
      <c r="I31" s="67" t="n"/>
      <c r="J31" s="68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126" t="n"/>
      <c r="AO31" s="126" t="n"/>
      <c r="AP31" s="126" t="n"/>
      <c r="AQ31" s="126" t="n"/>
      <c r="AR31" s="126" t="n"/>
      <c r="AS31" s="126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  <c r="BP31" s="77" t="n"/>
      <c r="BQ31" s="32" t="n"/>
    </row>
    <row r="32" outlineLevel="1" ht="17.25" customHeight="1" s="108">
      <c r="A32" s="61" t="n"/>
      <c r="B32" s="54" t="inlineStr">
        <is>
          <t>6.0</t>
        </is>
      </c>
      <c r="C32" s="55" t="inlineStr">
        <is>
          <t>모델 배포</t>
        </is>
      </c>
      <c r="D32" s="56" t="n"/>
      <c r="E32" s="119" t="n">
        <v>46294</v>
      </c>
      <c r="F32" s="119" t="n">
        <v>46316</v>
      </c>
      <c r="G32" s="56">
        <f>DAYS360(E32,F32)</f>
        <v/>
      </c>
      <c r="H32" s="120" t="n">
        <v>0</v>
      </c>
      <c r="I32" s="121" t="n"/>
      <c r="J32" s="122" t="n"/>
      <c r="K32" s="123" t="n"/>
      <c r="L32" s="123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  <c r="AA32" s="121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  <c r="AK32" s="121" t="n"/>
      <c r="AL32" s="121" t="n"/>
      <c r="AM32" s="121" t="n"/>
      <c r="AN32" s="124" t="n"/>
      <c r="AO32" s="124" t="n"/>
      <c r="AP32" s="124" t="n"/>
      <c r="AQ32" s="124" t="n"/>
      <c r="AR32" s="124" t="n"/>
      <c r="AS32" s="124" t="n"/>
      <c r="AT32" s="124" t="n"/>
      <c r="AU32" s="124" t="n"/>
      <c r="AV32" s="124" t="n"/>
      <c r="AW32" s="124" t="n"/>
      <c r="AX32" s="124" t="n"/>
      <c r="AY32" s="124" t="n"/>
      <c r="AZ32" s="124" t="n"/>
      <c r="BA32" s="124" t="n"/>
      <c r="BB32" s="124" t="n"/>
      <c r="BC32" s="124" t="n"/>
      <c r="BD32" s="124" t="n"/>
      <c r="BE32" s="121" t="n"/>
      <c r="BF32" s="121" t="n"/>
      <c r="BG32" s="121" t="n"/>
      <c r="BH32" s="121" t="n"/>
      <c r="BI32" s="121" t="n"/>
      <c r="BJ32" s="121" t="n"/>
      <c r="BK32" s="121" t="n"/>
      <c r="BL32" s="121" t="n"/>
      <c r="BM32" s="121" t="n"/>
      <c r="BN32" s="121" t="n"/>
      <c r="BO32" s="121" t="n"/>
      <c r="BP32" s="121" t="n"/>
      <c r="BQ32" s="61" t="n"/>
    </row>
    <row r="33" outlineLevel="1" ht="17.25" customHeight="1" s="108">
      <c r="A33" s="61" t="n"/>
      <c r="B33" s="62" t="inlineStr">
        <is>
          <t>6.1</t>
        </is>
      </c>
      <c r="C33" s="63" t="inlineStr">
        <is>
          <t>요구사항 정의서 갱신</t>
        </is>
      </c>
      <c r="D33" s="63" t="inlineStr">
        <is>
          <t>전체</t>
        </is>
      </c>
      <c r="E33" s="125" t="n">
        <v>46294</v>
      </c>
      <c r="F33" s="125" t="n">
        <v>46301</v>
      </c>
      <c r="G33" s="65">
        <f>DAYS360(E33,F33)</f>
        <v/>
      </c>
      <c r="H33" s="66" t="n">
        <v>0</v>
      </c>
      <c r="I33" s="67" t="n"/>
      <c r="J33" s="68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126" t="n"/>
      <c r="AO33" s="126" t="n"/>
      <c r="AP33" s="126" t="n"/>
      <c r="AQ33" s="126" t="n"/>
      <c r="AR33" s="126" t="n"/>
      <c r="AS33" s="126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  <c r="BJ33" s="73" t="n"/>
      <c r="BK33" s="73" t="n"/>
      <c r="BL33" s="73" t="n"/>
      <c r="BM33" s="73" t="n"/>
      <c r="BN33" s="73" t="n"/>
      <c r="BO33" s="73" t="n"/>
      <c r="BP33" s="77" t="n"/>
      <c r="BQ33" s="61" t="n"/>
    </row>
    <row r="34" outlineLevel="1" ht="17.25" customHeight="1" s="108">
      <c r="A34" s="61" t="n"/>
      <c r="B34" s="62" t="inlineStr">
        <is>
          <t>6.2</t>
        </is>
      </c>
      <c r="C34" s="63" t="inlineStr">
        <is>
          <t>화면설계서 작성</t>
        </is>
      </c>
      <c r="D34" s="63" t="inlineStr">
        <is>
          <t>검증&amp;프론트</t>
        </is>
      </c>
      <c r="E34" s="125" t="n">
        <v>46294</v>
      </c>
      <c r="F34" s="125" t="n">
        <v>46301</v>
      </c>
      <c r="G34" s="65">
        <f>DAYS360(E34,F34)</f>
        <v/>
      </c>
      <c r="H34" s="66" t="n">
        <v>0</v>
      </c>
      <c r="I34" s="67" t="n"/>
      <c r="J34" s="68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126" t="n"/>
      <c r="AO34" s="126" t="n"/>
      <c r="AP34" s="126" t="n"/>
      <c r="AQ34" s="126" t="n"/>
      <c r="AR34" s="126" t="n"/>
      <c r="AS34" s="126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  <c r="BJ34" s="73" t="n"/>
      <c r="BK34" s="73" t="n"/>
      <c r="BL34" s="73" t="n"/>
      <c r="BM34" s="73" t="n"/>
      <c r="BN34" s="73" t="n"/>
      <c r="BO34" s="73" t="n"/>
      <c r="BP34" s="77" t="n"/>
      <c r="BQ34" s="61" t="n"/>
    </row>
    <row r="35" outlineLevel="1" ht="17.25" customHeight="1" s="108">
      <c r="A35" s="61" t="n"/>
      <c r="B35" s="62" t="inlineStr">
        <is>
          <t>6.3</t>
        </is>
      </c>
      <c r="C35" s="63" t="inlineStr">
        <is>
          <t>개발된 LLM 연동 웹 애플리케이션 정리</t>
        </is>
      </c>
      <c r="D35" s="63" t="inlineStr">
        <is>
          <t>검증&amp;프론트</t>
        </is>
      </c>
      <c r="E35" s="125" t="n">
        <v>46310</v>
      </c>
      <c r="F35" s="125" t="n">
        <v>46316</v>
      </c>
      <c r="G35" s="65">
        <f>DAYS360(E35,F35)</f>
        <v/>
      </c>
      <c r="H35" s="66" t="n">
        <v>0</v>
      </c>
      <c r="I35" s="67" t="n"/>
      <c r="J35" s="68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  <c r="AS35" s="73" t="n"/>
      <c r="AT35" s="73" t="n"/>
      <c r="AU35" s="73" t="n"/>
      <c r="AV35" s="73" t="n"/>
      <c r="AW35" s="73" t="n"/>
      <c r="AX35" s="73" t="n"/>
      <c r="AY35" s="73" t="n"/>
      <c r="AZ35" s="126" t="n"/>
      <c r="BA35" s="126" t="n"/>
      <c r="BB35" s="126" t="n"/>
      <c r="BC35" s="126" t="n"/>
      <c r="BD35" s="126" t="n"/>
      <c r="BE35" s="73" t="n"/>
      <c r="BF35" s="73" t="n"/>
      <c r="BG35" s="73" t="n"/>
      <c r="BH35" s="73" t="n"/>
      <c r="BI35" s="73" t="n"/>
      <c r="BJ35" s="73" t="n"/>
      <c r="BK35" s="73" t="n"/>
      <c r="BL35" s="73" t="n"/>
      <c r="BM35" s="73" t="n"/>
      <c r="BN35" s="73" t="n"/>
      <c r="BO35" s="73" t="n"/>
      <c r="BP35" s="77" t="n"/>
      <c r="BQ35" s="61" t="n"/>
    </row>
    <row r="36" ht="21" customHeight="1" s="108">
      <c r="A36" s="32" t="n"/>
      <c r="B36" s="62" t="inlineStr">
        <is>
          <t>6.4</t>
        </is>
      </c>
      <c r="C36" s="63" t="inlineStr">
        <is>
          <t>시스템 구성도 작성</t>
        </is>
      </c>
      <c r="D36" s="63" t="inlineStr">
        <is>
          <t>최연우</t>
        </is>
      </c>
      <c r="E36" s="125" t="n">
        <v>46310</v>
      </c>
      <c r="F36" s="125" t="n">
        <v>46316</v>
      </c>
      <c r="G36" s="65">
        <f>DAYS360(E36,F36)</f>
        <v/>
      </c>
      <c r="H36" s="66" t="n">
        <v>0</v>
      </c>
      <c r="I36" s="67" t="n"/>
      <c r="J36" s="68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  <c r="AM36" s="73" t="n"/>
      <c r="AN36" s="73" t="n"/>
      <c r="AO36" s="73" t="n"/>
      <c r="AP36" s="73" t="n"/>
      <c r="AQ36" s="73" t="n"/>
      <c r="AR36" s="73" t="n"/>
      <c r="AS36" s="73" t="n"/>
      <c r="AT36" s="73" t="n"/>
      <c r="AU36" s="73" t="n"/>
      <c r="AV36" s="73" t="n"/>
      <c r="AW36" s="73" t="n"/>
      <c r="AX36" s="73" t="n"/>
      <c r="AY36" s="73" t="n"/>
      <c r="AZ36" s="126" t="n"/>
      <c r="BA36" s="126" t="n"/>
      <c r="BB36" s="126" t="n"/>
      <c r="BC36" s="126" t="n"/>
      <c r="BD36" s="126" t="n"/>
      <c r="BE36" s="73" t="n"/>
      <c r="BF36" s="73" t="n"/>
      <c r="BG36" s="73" t="n"/>
      <c r="BH36" s="73" t="n"/>
      <c r="BI36" s="73" t="n"/>
      <c r="BJ36" s="73" t="n"/>
      <c r="BK36" s="73" t="n"/>
      <c r="BL36" s="73" t="n"/>
      <c r="BM36" s="73" t="n"/>
      <c r="BN36" s="73" t="n"/>
      <c r="BO36" s="73" t="n"/>
      <c r="BP36" s="77" t="n"/>
      <c r="BQ36" s="32" t="n"/>
    </row>
    <row r="37" ht="21" customHeight="1" s="108">
      <c r="A37" s="32" t="n"/>
      <c r="B37" s="62" t="inlineStr">
        <is>
          <t>6.5</t>
        </is>
      </c>
      <c r="C37" s="63" t="inlineStr">
        <is>
          <t>서비스 테스트 계획 및 결과 보고서 작성</t>
        </is>
      </c>
      <c r="D37" s="63" t="inlineStr">
        <is>
          <t>검증&amp;프론트</t>
        </is>
      </c>
      <c r="E37" s="125" t="n">
        <v>46310</v>
      </c>
      <c r="F37" s="125" t="n">
        <v>46316</v>
      </c>
      <c r="G37" s="65">
        <f>DAYS360(E37,F37)</f>
        <v/>
      </c>
      <c r="H37" s="66" t="n">
        <v>0</v>
      </c>
      <c r="I37" s="67" t="n"/>
      <c r="J37" s="68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  <c r="AS37" s="73" t="n"/>
      <c r="AT37" s="73" t="n"/>
      <c r="AU37" s="73" t="n"/>
      <c r="AV37" s="73" t="n"/>
      <c r="AW37" s="73" t="n"/>
      <c r="AX37" s="73" t="n"/>
      <c r="AY37" s="73" t="n"/>
      <c r="AZ37" s="126" t="n"/>
      <c r="BA37" s="126" t="n"/>
      <c r="BB37" s="126" t="n"/>
      <c r="BC37" s="126" t="n"/>
      <c r="BD37" s="126" t="n"/>
      <c r="BE37" s="73" t="n"/>
      <c r="BF37" s="73" t="n"/>
      <c r="BG37" s="73" t="n"/>
      <c r="BH37" s="73" t="n"/>
      <c r="BI37" s="73" t="n"/>
      <c r="BJ37" s="73" t="n"/>
      <c r="BK37" s="73" t="n"/>
      <c r="BL37" s="73" t="n"/>
      <c r="BM37" s="73" t="n"/>
      <c r="BN37" s="73" t="n"/>
      <c r="BO37" s="73" t="n"/>
      <c r="BP37" s="77" t="n"/>
      <c r="BQ37" s="32" t="n"/>
    </row>
    <row r="38" ht="21" customHeight="1" s="108">
      <c r="A38" s="32" t="n"/>
      <c r="B38" s="54" t="inlineStr">
        <is>
          <t>7.0</t>
        </is>
      </c>
      <c r="C38" s="55" t="inlineStr">
        <is>
          <t>코어 1</t>
        </is>
      </c>
      <c r="D38" s="56" t="n"/>
      <c r="E38" s="119" t="n">
        <v>46251</v>
      </c>
      <c r="F38" s="119" t="n">
        <v>46319</v>
      </c>
      <c r="G38" s="56">
        <f>DAYS360(E38,F38)</f>
        <v/>
      </c>
      <c r="H38" s="120" t="n">
        <v>0.4</v>
      </c>
      <c r="I38" s="124" t="n"/>
      <c r="J38" s="127" t="n"/>
      <c r="K38" s="128" t="n"/>
      <c r="L38" s="128" t="n"/>
      <c r="M38" s="124" t="n"/>
      <c r="N38" s="124" t="n"/>
      <c r="O38" s="124" t="n"/>
      <c r="P38" s="124" t="n"/>
      <c r="Q38" s="124" t="n"/>
      <c r="R38" s="124" t="n"/>
      <c r="S38" s="124" t="n"/>
      <c r="T38" s="124" t="n"/>
      <c r="U38" s="124" t="n"/>
      <c r="V38" s="124" t="n"/>
      <c r="W38" s="124" t="n"/>
      <c r="X38" s="124" t="n"/>
      <c r="Y38" s="124" t="n"/>
      <c r="Z38" s="124" t="n"/>
      <c r="AA38" s="124" t="n"/>
      <c r="AB38" s="124" t="n"/>
      <c r="AC38" s="124" t="n"/>
      <c r="AD38" s="124" t="n"/>
      <c r="AE38" s="124" t="n"/>
      <c r="AF38" s="124" t="n"/>
      <c r="AG38" s="124" t="n"/>
      <c r="AH38" s="124" t="n"/>
      <c r="AI38" s="124" t="n"/>
      <c r="AJ38" s="124" t="n"/>
      <c r="AK38" s="124" t="n"/>
      <c r="AL38" s="124" t="n"/>
      <c r="AM38" s="124" t="n"/>
      <c r="AN38" s="124" t="n"/>
      <c r="AO38" s="124" t="n"/>
      <c r="AP38" s="124" t="n"/>
      <c r="AQ38" s="124" t="n"/>
      <c r="AR38" s="124" t="n"/>
      <c r="AS38" s="124" t="n"/>
      <c r="AT38" s="124" t="n"/>
      <c r="AU38" s="124" t="n"/>
      <c r="AV38" s="124" t="n"/>
      <c r="AW38" s="124" t="n"/>
      <c r="AX38" s="124" t="n"/>
      <c r="AY38" s="124" t="n"/>
      <c r="AZ38" s="124" t="n"/>
      <c r="BA38" s="124" t="n"/>
      <c r="BB38" s="124" t="n"/>
      <c r="BC38" s="124" t="n"/>
      <c r="BD38" s="124" t="n"/>
      <c r="BE38" s="124" t="n"/>
      <c r="BF38" s="124" t="n"/>
      <c r="BG38" s="121" t="n"/>
      <c r="BH38" s="121" t="n"/>
      <c r="BI38" s="121" t="n"/>
      <c r="BJ38" s="121" t="n"/>
      <c r="BK38" s="121" t="n"/>
      <c r="BL38" s="121" t="n"/>
      <c r="BM38" s="121" t="n"/>
      <c r="BN38" s="121" t="n"/>
      <c r="BO38" s="121" t="n"/>
      <c r="BP38" s="121" t="n"/>
      <c r="BQ38" s="32" t="n"/>
    </row>
    <row r="39">
      <c r="B39" s="62" t="inlineStr">
        <is>
          <t>7.1</t>
        </is>
      </c>
      <c r="C39" s="63" t="inlineStr">
        <is>
          <t>Case·Contract·State stub 구축</t>
        </is>
      </c>
      <c r="D39" s="63" t="inlineStr">
        <is>
          <t>최연우</t>
        </is>
      </c>
      <c r="E39" s="125" t="n">
        <v>46251</v>
      </c>
      <c r="F39" s="125" t="n">
        <v>46261</v>
      </c>
      <c r="G39" s="65">
        <f>DAYS360(E39,F39)</f>
        <v/>
      </c>
      <c r="H39" s="66" t="n">
        <v>1</v>
      </c>
      <c r="I39" s="129" t="n"/>
      <c r="J39" s="130" t="n"/>
      <c r="K39" s="131" t="n"/>
      <c r="L39" s="131" t="n"/>
      <c r="M39" s="131" t="n"/>
      <c r="N39" s="131" t="n"/>
      <c r="O39" s="131" t="n"/>
      <c r="P39" s="131" t="n"/>
      <c r="Q39" s="131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  <c r="BJ39" s="73" t="n"/>
      <c r="BK39" s="73" t="n"/>
      <c r="BL39" s="73" t="n"/>
      <c r="BM39" s="73" t="n"/>
      <c r="BN39" s="73" t="n"/>
      <c r="BO39" s="73" t="n"/>
      <c r="BP39" s="77" t="n"/>
    </row>
    <row r="40">
      <c r="B40" s="62" t="inlineStr">
        <is>
          <t>7.2</t>
        </is>
      </c>
      <c r="C40" s="63" t="inlineStr">
        <is>
          <t>CAS·상태전이 경계 정리, Contract Freeze</t>
        </is>
      </c>
      <c r="D40" s="63" t="inlineStr">
        <is>
          <t>최연우</t>
        </is>
      </c>
      <c r="E40" s="125" t="n">
        <v>46262</v>
      </c>
      <c r="F40" s="125" t="n">
        <v>46268</v>
      </c>
      <c r="G40" s="65">
        <f>DAYS360(E40,F40)</f>
        <v/>
      </c>
      <c r="H40" s="66" t="n">
        <v>1</v>
      </c>
      <c r="I40" s="67" t="n"/>
      <c r="J40" s="68" t="n"/>
      <c r="K40" s="73" t="n"/>
      <c r="L40" s="73" t="n"/>
      <c r="M40" s="73" t="n"/>
      <c r="N40" s="73" t="n"/>
      <c r="O40" s="73" t="n"/>
      <c r="P40" s="73" t="n"/>
      <c r="Q40" s="73" t="n"/>
      <c r="R40" s="131" t="n"/>
      <c r="S40" s="131" t="n"/>
      <c r="T40" s="131" t="n"/>
      <c r="U40" s="131" t="n"/>
      <c r="V40" s="131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  <c r="AM40" s="73" t="n"/>
      <c r="AN40" s="73" t="n"/>
      <c r="AO40" s="73" t="n"/>
      <c r="AP40" s="73" t="n"/>
      <c r="AQ40" s="73" t="n"/>
      <c r="AR40" s="73" t="n"/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  <c r="BJ40" s="73" t="n"/>
      <c r="BK40" s="73" t="n"/>
      <c r="BL40" s="73" t="n"/>
      <c r="BM40" s="73" t="n"/>
      <c r="BN40" s="73" t="n"/>
      <c r="BO40" s="73" t="n"/>
      <c r="BP40" s="77" t="n"/>
    </row>
    <row r="41">
      <c r="B41" s="62" t="inlineStr">
        <is>
          <t>7.3</t>
        </is>
      </c>
      <c r="C41" s="63" t="inlineStr">
        <is>
          <t>Case·Action 상태와 Registry 구조를 seed 에 맞춰 정리</t>
        </is>
      </c>
      <c r="D41" s="63" t="inlineStr">
        <is>
          <t>최연우</t>
        </is>
      </c>
      <c r="E41" s="125" t="n">
        <v>46269</v>
      </c>
      <c r="F41" s="125" t="n">
        <v>46275</v>
      </c>
      <c r="G41" s="65">
        <f>DAYS360(E41,F41)</f>
        <v/>
      </c>
      <c r="H41" s="66" t="n">
        <v>0</v>
      </c>
      <c r="I41" s="67" t="n"/>
      <c r="J41" s="68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126" t="n"/>
      <c r="X41" s="126" t="n"/>
      <c r="Y41" s="126" t="n"/>
      <c r="Z41" s="126" t="n"/>
      <c r="AA41" s="126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  <c r="BJ41" s="73" t="n"/>
      <c r="BK41" s="73" t="n"/>
      <c r="BL41" s="73" t="n"/>
      <c r="BM41" s="73" t="n"/>
      <c r="BN41" s="73" t="n"/>
      <c r="BO41" s="73" t="n"/>
      <c r="BP41" s="77" t="n"/>
    </row>
    <row r="42">
      <c r="B42" s="62" t="inlineStr">
        <is>
          <t>7.4</t>
        </is>
      </c>
      <c r="C42" s="63" t="inlineStr">
        <is>
          <t>인라인 분류 실행 절차를 코어 1 로 이관(트랜잭션 밖)</t>
        </is>
      </c>
      <c r="D42" s="63" t="inlineStr">
        <is>
          <t>최연우</t>
        </is>
      </c>
      <c r="E42" s="125" t="n">
        <v>46276</v>
      </c>
      <c r="F42" s="125" t="n">
        <v>46282</v>
      </c>
      <c r="G42" s="65">
        <f>DAYS360(E42,F42)</f>
        <v/>
      </c>
      <c r="H42" s="66" t="n">
        <v>1</v>
      </c>
      <c r="I42" s="67" t="n"/>
      <c r="J42" s="68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131" t="n"/>
      <c r="AC42" s="131" t="n"/>
      <c r="AD42" s="131" t="n"/>
      <c r="AE42" s="131" t="n"/>
      <c r="AF42" s="131" t="n"/>
      <c r="AG42" s="73" t="n"/>
      <c r="AH42" s="73" t="n"/>
      <c r="AI42" s="73" t="n"/>
      <c r="AJ42" s="73" t="n"/>
      <c r="AK42" s="73" t="n"/>
      <c r="AL42" s="73" t="n"/>
      <c r="AM42" s="73" t="n"/>
      <c r="AN42" s="73" t="n"/>
      <c r="AO42" s="73" t="n"/>
      <c r="AP42" s="73" t="n"/>
      <c r="AQ42" s="73" t="n"/>
      <c r="AR42" s="73" t="n"/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  <c r="BJ42" s="73" t="n"/>
      <c r="BK42" s="73" t="n"/>
      <c r="BL42" s="73" t="n"/>
      <c r="BM42" s="73" t="n"/>
      <c r="BN42" s="73" t="n"/>
      <c r="BO42" s="73" t="n"/>
      <c r="BP42" s="77" t="n"/>
    </row>
    <row r="43">
      <c r="B43" s="62" t="inlineStr">
        <is>
          <t>7.5</t>
        </is>
      </c>
      <c r="C43" s="63" t="inlineStr">
        <is>
          <t>Feedback Analytics 집계 배치 소유 이관</t>
        </is>
      </c>
      <c r="D43" s="63" t="inlineStr">
        <is>
          <t>최연우</t>
        </is>
      </c>
      <c r="E43" s="125" t="n">
        <v>46276</v>
      </c>
      <c r="F43" s="125" t="n">
        <v>46282</v>
      </c>
      <c r="G43" s="65">
        <f>DAYS360(E43,F43)</f>
        <v/>
      </c>
      <c r="H43" s="66" t="n">
        <v>1</v>
      </c>
      <c r="I43" s="67" t="n"/>
      <c r="J43" s="68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131" t="n"/>
      <c r="AC43" s="131" t="n"/>
      <c r="AD43" s="131" t="n"/>
      <c r="AE43" s="131" t="n"/>
      <c r="AF43" s="131" t="n"/>
      <c r="AG43" s="73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3" t="n"/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  <c r="BJ43" s="73" t="n"/>
      <c r="BK43" s="73" t="n"/>
      <c r="BL43" s="73" t="n"/>
      <c r="BM43" s="73" t="n"/>
      <c r="BN43" s="73" t="n"/>
      <c r="BO43" s="73" t="n"/>
      <c r="BP43" s="77" t="n"/>
    </row>
    <row r="44">
      <c r="B44" s="62" t="inlineStr">
        <is>
          <t>7.6</t>
        </is>
      </c>
      <c r="C44" s="63" t="inlineStr">
        <is>
          <t>Context Broker·projection 안정화</t>
        </is>
      </c>
      <c r="D44" s="63" t="inlineStr">
        <is>
          <t>최연우</t>
        </is>
      </c>
      <c r="E44" s="125" t="n">
        <v>46283</v>
      </c>
      <c r="F44" s="125" t="n">
        <v>46293</v>
      </c>
      <c r="G44" s="65">
        <f>DAYS360(E44,F44)</f>
        <v/>
      </c>
      <c r="H44" s="66" t="n">
        <v>0</v>
      </c>
      <c r="I44" s="67" t="n"/>
      <c r="J44" s="68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126" t="n"/>
      <c r="AH44" s="126" t="n"/>
      <c r="AI44" s="126" t="n"/>
      <c r="AJ44" s="126" t="n"/>
      <c r="AK44" s="126" t="n"/>
      <c r="AL44" s="126" t="n"/>
      <c r="AM44" s="126" t="n"/>
      <c r="AN44" s="73" t="n"/>
      <c r="AO44" s="73" t="n"/>
      <c r="AP44" s="73" t="n"/>
      <c r="AQ44" s="73" t="n"/>
      <c r="AR44" s="73" t="n"/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  <c r="BJ44" s="73" t="n"/>
      <c r="BK44" s="73" t="n"/>
      <c r="BL44" s="73" t="n"/>
      <c r="BM44" s="73" t="n"/>
      <c r="BN44" s="73" t="n"/>
      <c r="BO44" s="73" t="n"/>
      <c r="BP44" s="77" t="n"/>
    </row>
    <row r="45">
      <c r="B45" s="62" t="inlineStr">
        <is>
          <t>7.7</t>
        </is>
      </c>
      <c r="C45" s="63" t="inlineStr">
        <is>
          <t>Controller 트랜잭션 분리 + 접수 응답 비동기화</t>
        </is>
      </c>
      <c r="D45" s="63" t="inlineStr">
        <is>
          <t>최연우</t>
        </is>
      </c>
      <c r="E45" s="125" t="n">
        <v>46283</v>
      </c>
      <c r="F45" s="125" t="n">
        <v>46293</v>
      </c>
      <c r="G45" s="65">
        <f>DAYS360(E45,F45)</f>
        <v/>
      </c>
      <c r="H45" s="66" t="n">
        <v>0</v>
      </c>
      <c r="I45" s="67" t="n"/>
      <c r="J45" s="68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126" t="n"/>
      <c r="AH45" s="126" t="n"/>
      <c r="AI45" s="126" t="n"/>
      <c r="AJ45" s="126" t="n"/>
      <c r="AK45" s="126" t="n"/>
      <c r="AL45" s="126" t="n"/>
      <c r="AM45" s="126" t="n"/>
      <c r="AN45" s="73" t="n"/>
      <c r="AO45" s="73" t="n"/>
      <c r="AP45" s="73" t="n"/>
      <c r="AQ45" s="73" t="n"/>
      <c r="AR45" s="73" t="n"/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  <c r="BJ45" s="73" t="n"/>
      <c r="BK45" s="73" t="n"/>
      <c r="BL45" s="73" t="n"/>
      <c r="BM45" s="73" t="n"/>
      <c r="BN45" s="73" t="n"/>
      <c r="BO45" s="73" t="n"/>
      <c r="BP45" s="77" t="n"/>
    </row>
    <row r="46">
      <c r="B46" s="62" t="inlineStr">
        <is>
          <t>7.8</t>
        </is>
      </c>
      <c r="C46" s="63" t="inlineStr">
        <is>
          <t>Outbox·retry·WAIT/RESUME 와 GraphStorePort 정리</t>
        </is>
      </c>
      <c r="D46" s="63" t="inlineStr">
        <is>
          <t>최연우</t>
        </is>
      </c>
      <c r="E46" s="125" t="n">
        <v>46294</v>
      </c>
      <c r="F46" s="125" t="n">
        <v>46301</v>
      </c>
      <c r="G46" s="65">
        <f>DAYS360(E46,F46)</f>
        <v/>
      </c>
      <c r="H46" s="66" t="n">
        <v>0</v>
      </c>
      <c r="I46" s="67" t="n"/>
      <c r="J46" s="68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  <c r="AM46" s="73" t="n"/>
      <c r="AN46" s="126" t="n"/>
      <c r="AO46" s="126" t="n"/>
      <c r="AP46" s="126" t="n"/>
      <c r="AQ46" s="126" t="n"/>
      <c r="AR46" s="126" t="n"/>
      <c r="AS46" s="126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  <c r="BJ46" s="73" t="n"/>
      <c r="BK46" s="73" t="n"/>
      <c r="BL46" s="73" t="n"/>
      <c r="BM46" s="73" t="n"/>
      <c r="BN46" s="73" t="n"/>
      <c r="BO46" s="73" t="n"/>
      <c r="BP46" s="77" t="n"/>
    </row>
    <row r="47">
      <c r="B47" s="62" t="inlineStr">
        <is>
          <t>7.9</t>
        </is>
      </c>
      <c r="C47" s="63" t="inlineStr">
        <is>
          <t>Shared State merge 와 재처리 경로 보완</t>
        </is>
      </c>
      <c r="D47" s="63" t="inlineStr">
        <is>
          <t>최연우</t>
        </is>
      </c>
      <c r="E47" s="125" t="n">
        <v>46302</v>
      </c>
      <c r="F47" s="125" t="n">
        <v>46309</v>
      </c>
      <c r="G47" s="65">
        <f>DAYS360(E47,F47)</f>
        <v/>
      </c>
      <c r="H47" s="66" t="n">
        <v>0</v>
      </c>
      <c r="I47" s="67" t="n"/>
      <c r="J47" s="68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  <c r="AS47" s="73" t="n"/>
      <c r="AT47" s="126" t="n"/>
      <c r="AU47" s="126" t="n"/>
      <c r="AV47" s="126" t="n"/>
      <c r="AW47" s="126" t="n"/>
      <c r="AX47" s="126" t="n"/>
      <c r="AY47" s="126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  <c r="BJ47" s="73" t="n"/>
      <c r="BK47" s="73" t="n"/>
      <c r="BL47" s="73" t="n"/>
      <c r="BM47" s="73" t="n"/>
      <c r="BN47" s="73" t="n"/>
      <c r="BO47" s="73" t="n"/>
      <c r="BP47" s="77" t="n"/>
    </row>
    <row r="48">
      <c r="B48" s="62" t="inlineStr">
        <is>
          <t>7.10</t>
        </is>
      </c>
      <c r="C48" s="63" t="inlineStr">
        <is>
          <t>재처리·경합 테스트와 DoD 근거 최종 확인</t>
        </is>
      </c>
      <c r="D48" s="63" t="inlineStr">
        <is>
          <t>최연우</t>
        </is>
      </c>
      <c r="E48" s="125" t="n">
        <v>46316</v>
      </c>
      <c r="F48" s="125" t="n">
        <v>46319</v>
      </c>
      <c r="G48" s="65">
        <f>DAYS360(E48,F48)</f>
        <v/>
      </c>
      <c r="H48" s="66" t="n">
        <v>0</v>
      </c>
      <c r="I48" s="67" t="n"/>
      <c r="J48" s="68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126" t="n"/>
      <c r="BE48" s="126" t="n"/>
      <c r="BF48" s="126" t="n"/>
      <c r="BG48" s="73" t="n"/>
      <c r="BH48" s="73" t="n"/>
      <c r="BI48" s="73" t="n"/>
      <c r="BJ48" s="73" t="n"/>
      <c r="BK48" s="73" t="n"/>
      <c r="BL48" s="73" t="n"/>
      <c r="BM48" s="73" t="n"/>
      <c r="BN48" s="73" t="n"/>
      <c r="BO48" s="73" t="n"/>
      <c r="BP48" s="77" t="n"/>
    </row>
    <row r="49">
      <c r="B49" s="54" t="inlineStr">
        <is>
          <t>8.0</t>
        </is>
      </c>
      <c r="C49" s="55" t="inlineStr">
        <is>
          <t>코어 2</t>
        </is>
      </c>
      <c r="D49" s="56" t="n"/>
      <c r="E49" s="119" t="n">
        <v>46251</v>
      </c>
      <c r="F49" s="119" t="n">
        <v>46319</v>
      </c>
      <c r="G49" s="56">
        <f>DAYS360(E49,F49)</f>
        <v/>
      </c>
      <c r="H49" s="120" t="n">
        <v>0.25</v>
      </c>
      <c r="I49" s="124" t="n"/>
      <c r="J49" s="127" t="n"/>
      <c r="K49" s="128" t="n"/>
      <c r="L49" s="128" t="n"/>
      <c r="M49" s="124" t="n"/>
      <c r="N49" s="124" t="n"/>
      <c r="O49" s="124" t="n"/>
      <c r="P49" s="124" t="n"/>
      <c r="Q49" s="124" t="n"/>
      <c r="R49" s="124" t="n"/>
      <c r="S49" s="124" t="n"/>
      <c r="T49" s="124" t="n"/>
      <c r="U49" s="124" t="n"/>
      <c r="V49" s="124" t="n"/>
      <c r="W49" s="124" t="n"/>
      <c r="X49" s="124" t="n"/>
      <c r="Y49" s="124" t="n"/>
      <c r="Z49" s="124" t="n"/>
      <c r="AA49" s="124" t="n"/>
      <c r="AB49" s="124" t="n"/>
      <c r="AC49" s="124" t="n"/>
      <c r="AD49" s="124" t="n"/>
      <c r="AE49" s="124" t="n"/>
      <c r="AF49" s="124" t="n"/>
      <c r="AG49" s="124" t="n"/>
      <c r="AH49" s="124" t="n"/>
      <c r="AI49" s="124" t="n"/>
      <c r="AJ49" s="124" t="n"/>
      <c r="AK49" s="124" t="n"/>
      <c r="AL49" s="124" t="n"/>
      <c r="AM49" s="124" t="n"/>
      <c r="AN49" s="124" t="n"/>
      <c r="AO49" s="124" t="n"/>
      <c r="AP49" s="124" t="n"/>
      <c r="AQ49" s="124" t="n"/>
      <c r="AR49" s="124" t="n"/>
      <c r="AS49" s="124" t="n"/>
      <c r="AT49" s="124" t="n"/>
      <c r="AU49" s="124" t="n"/>
      <c r="AV49" s="124" t="n"/>
      <c r="AW49" s="124" t="n"/>
      <c r="AX49" s="124" t="n"/>
      <c r="AY49" s="124" t="n"/>
      <c r="AZ49" s="124" t="n"/>
      <c r="BA49" s="124" t="n"/>
      <c r="BB49" s="124" t="n"/>
      <c r="BC49" s="124" t="n"/>
      <c r="BD49" s="124" t="n"/>
      <c r="BE49" s="124" t="n"/>
      <c r="BF49" s="124" t="n"/>
      <c r="BG49" s="121" t="n"/>
      <c r="BH49" s="121" t="n"/>
      <c r="BI49" s="121" t="n"/>
      <c r="BJ49" s="121" t="n"/>
      <c r="BK49" s="121" t="n"/>
      <c r="BL49" s="121" t="n"/>
      <c r="BM49" s="121" t="n"/>
      <c r="BN49" s="121" t="n"/>
      <c r="BO49" s="121" t="n"/>
      <c r="BP49" s="121" t="n"/>
    </row>
    <row r="50">
      <c r="B50" s="62" t="inlineStr">
        <is>
          <t>8.1</t>
        </is>
      </c>
      <c r="C50" s="63" t="inlineStr">
        <is>
          <t>Gateway·scope stub 구축</t>
        </is>
      </c>
      <c r="D50" s="63" t="inlineStr">
        <is>
          <t>정세환</t>
        </is>
      </c>
      <c r="E50" s="125" t="n">
        <v>46251</v>
      </c>
      <c r="F50" s="125" t="n">
        <v>46261</v>
      </c>
      <c r="G50" s="65">
        <f>DAYS360(E50,F50)</f>
        <v/>
      </c>
      <c r="H50" s="66" t="n">
        <v>1</v>
      </c>
      <c r="I50" s="129" t="n"/>
      <c r="J50" s="130" t="n"/>
      <c r="K50" s="131" t="n"/>
      <c r="L50" s="131" t="n"/>
      <c r="M50" s="131" t="n"/>
      <c r="N50" s="131" t="n"/>
      <c r="O50" s="131" t="n"/>
      <c r="P50" s="131" t="n"/>
      <c r="Q50" s="131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  <c r="AM50" s="73" t="n"/>
      <c r="AN50" s="73" t="n"/>
      <c r="AO50" s="73" t="n"/>
      <c r="AP50" s="73" t="n"/>
      <c r="AQ50" s="73" t="n"/>
      <c r="AR50" s="73" t="n"/>
      <c r="AS50" s="73" t="n"/>
      <c r="AT50" s="73" t="n"/>
      <c r="AU50" s="73" t="n"/>
      <c r="AV50" s="73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3" t="n"/>
      <c r="BH50" s="73" t="n"/>
      <c r="BI50" s="73" t="n"/>
      <c r="BJ50" s="73" t="n"/>
      <c r="BK50" s="73" t="n"/>
      <c r="BL50" s="73" t="n"/>
      <c r="BM50" s="73" t="n"/>
      <c r="BN50" s="73" t="n"/>
      <c r="BO50" s="73" t="n"/>
      <c r="BP50" s="77" t="n"/>
    </row>
    <row r="51">
      <c r="B51" s="62" t="inlineStr">
        <is>
          <t>8.2</t>
        </is>
      </c>
      <c r="C51" s="63" t="inlineStr">
        <is>
          <t>REST/MCP·scope skeleton 과 Contract Freeze</t>
        </is>
      </c>
      <c r="D51" s="63" t="inlineStr">
        <is>
          <t>정세환</t>
        </is>
      </c>
      <c r="E51" s="125" t="n">
        <v>46262</v>
      </c>
      <c r="F51" s="125" t="n">
        <v>46268</v>
      </c>
      <c r="G51" s="65">
        <f>DAYS360(E51,F51)</f>
        <v/>
      </c>
      <c r="H51" s="66" t="n">
        <v>1</v>
      </c>
      <c r="I51" s="67" t="n"/>
      <c r="J51" s="68" t="n"/>
      <c r="K51" s="73" t="n"/>
      <c r="L51" s="73" t="n"/>
      <c r="M51" s="73" t="n"/>
      <c r="N51" s="73" t="n"/>
      <c r="O51" s="73" t="n"/>
      <c r="P51" s="73" t="n"/>
      <c r="Q51" s="73" t="n"/>
      <c r="R51" s="131" t="n"/>
      <c r="S51" s="131" t="n"/>
      <c r="T51" s="131" t="n"/>
      <c r="U51" s="131" t="n"/>
      <c r="V51" s="131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3" t="n"/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  <c r="BJ51" s="73" t="n"/>
      <c r="BK51" s="73" t="n"/>
      <c r="BL51" s="73" t="n"/>
      <c r="BM51" s="73" t="n"/>
      <c r="BN51" s="73" t="n"/>
      <c r="BO51" s="73" t="n"/>
      <c r="BP51" s="77" t="n"/>
    </row>
    <row r="52">
      <c r="B52" s="62" t="inlineStr">
        <is>
          <t>8.3</t>
        </is>
      </c>
      <c r="C52" s="63" t="inlineStr">
        <is>
          <t>REST/MCP skeleton 과 저장소 경계 문서화</t>
        </is>
      </c>
      <c r="D52" s="63" t="inlineStr">
        <is>
          <t>정세환</t>
        </is>
      </c>
      <c r="E52" s="125" t="n">
        <v>46269</v>
      </c>
      <c r="F52" s="125" t="n">
        <v>46275</v>
      </c>
      <c r="G52" s="65">
        <f>DAYS360(E52,F52)</f>
        <v/>
      </c>
      <c r="H52" s="66" t="n">
        <v>0</v>
      </c>
      <c r="I52" s="67" t="n"/>
      <c r="J52" s="68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126" t="n"/>
      <c r="X52" s="126" t="n"/>
      <c r="Y52" s="126" t="n"/>
      <c r="Z52" s="126" t="n"/>
      <c r="AA52" s="126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  <c r="AM52" s="73" t="n"/>
      <c r="AN52" s="73" t="n"/>
      <c r="AO52" s="73" t="n"/>
      <c r="AP52" s="73" t="n"/>
      <c r="AQ52" s="73" t="n"/>
      <c r="AR52" s="73" t="n"/>
      <c r="AS52" s="73" t="n"/>
      <c r="AT52" s="73" t="n"/>
      <c r="AU52" s="73" t="n"/>
      <c r="AV52" s="73" t="n"/>
      <c r="AW52" s="73" t="n"/>
      <c r="AX52" s="73" t="n"/>
      <c r="AY52" s="73" t="n"/>
      <c r="AZ52" s="73" t="n"/>
      <c r="BA52" s="73" t="n"/>
      <c r="BB52" s="73" t="n"/>
      <c r="BC52" s="73" t="n"/>
      <c r="BD52" s="73" t="n"/>
      <c r="BE52" s="73" t="n"/>
      <c r="BF52" s="73" t="n"/>
      <c r="BG52" s="73" t="n"/>
      <c r="BH52" s="73" t="n"/>
      <c r="BI52" s="73" t="n"/>
      <c r="BJ52" s="73" t="n"/>
      <c r="BK52" s="73" t="n"/>
      <c r="BL52" s="73" t="n"/>
      <c r="BM52" s="73" t="n"/>
      <c r="BN52" s="73" t="n"/>
      <c r="BO52" s="73" t="n"/>
      <c r="BP52" s="77" t="n"/>
    </row>
    <row r="53">
      <c r="B53" s="62" t="inlineStr">
        <is>
          <t>8.4</t>
        </is>
      </c>
      <c r="C53" s="63" t="inlineStr">
        <is>
          <t>Action·approval 경계 연결</t>
        </is>
      </c>
      <c r="D53" s="63" t="inlineStr">
        <is>
          <t>정세환</t>
        </is>
      </c>
      <c r="E53" s="125" t="n">
        <v>46276</v>
      </c>
      <c r="F53" s="125" t="n">
        <v>46282</v>
      </c>
      <c r="G53" s="65">
        <f>DAYS360(E53,F53)</f>
        <v/>
      </c>
      <c r="H53" s="66" t="n">
        <v>0</v>
      </c>
      <c r="I53" s="67" t="n"/>
      <c r="J53" s="68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126" t="n"/>
      <c r="AC53" s="126" t="n"/>
      <c r="AD53" s="126" t="n"/>
      <c r="AE53" s="126" t="n"/>
      <c r="AF53" s="126" t="n"/>
      <c r="AG53" s="73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3" t="n"/>
      <c r="AS53" s="73" t="n"/>
      <c r="AT53" s="73" t="n"/>
      <c r="AU53" s="73" t="n"/>
      <c r="AV53" s="73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  <c r="BJ53" s="73" t="n"/>
      <c r="BK53" s="73" t="n"/>
      <c r="BL53" s="73" t="n"/>
      <c r="BM53" s="73" t="n"/>
      <c r="BN53" s="73" t="n"/>
      <c r="BO53" s="73" t="n"/>
      <c r="BP53" s="77" t="n"/>
    </row>
    <row r="54">
      <c r="B54" s="62" t="inlineStr">
        <is>
          <t>8.5</t>
        </is>
      </c>
      <c r="C54" s="63" t="inlineStr">
        <is>
          <t>Tool adapter·audit 보완</t>
        </is>
      </c>
      <c r="D54" s="63" t="inlineStr">
        <is>
          <t>정세환</t>
        </is>
      </c>
      <c r="E54" s="125" t="n">
        <v>46283</v>
      </c>
      <c r="F54" s="125" t="n">
        <v>46293</v>
      </c>
      <c r="G54" s="65">
        <f>DAYS360(E54,F54)</f>
        <v/>
      </c>
      <c r="H54" s="66" t="n">
        <v>0</v>
      </c>
      <c r="I54" s="67" t="n"/>
      <c r="J54" s="68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126" t="n"/>
      <c r="AH54" s="126" t="n"/>
      <c r="AI54" s="126" t="n"/>
      <c r="AJ54" s="126" t="n"/>
      <c r="AK54" s="126" t="n"/>
      <c r="AL54" s="126" t="n"/>
      <c r="AM54" s="126" t="n"/>
      <c r="AN54" s="73" t="n"/>
      <c r="AO54" s="73" t="n"/>
      <c r="AP54" s="73" t="n"/>
      <c r="AQ54" s="73" t="n"/>
      <c r="AR54" s="73" t="n"/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  <c r="BJ54" s="73" t="n"/>
      <c r="BK54" s="73" t="n"/>
      <c r="BL54" s="73" t="n"/>
      <c r="BM54" s="73" t="n"/>
      <c r="BN54" s="73" t="n"/>
      <c r="BO54" s="73" t="n"/>
      <c r="BP54" s="77" t="n"/>
    </row>
    <row r="55">
      <c r="B55" s="62" t="inlineStr">
        <is>
          <t>8.6</t>
        </is>
      </c>
      <c r="C55" s="63" t="inlineStr">
        <is>
          <t>idempotency·unknown 과 MCP/A2A 보안 경계 정리</t>
        </is>
      </c>
      <c r="D55" s="63" t="inlineStr">
        <is>
          <t>정세환</t>
        </is>
      </c>
      <c r="E55" s="125" t="n">
        <v>46294</v>
      </c>
      <c r="F55" s="125" t="n">
        <v>46301</v>
      </c>
      <c r="G55" s="65">
        <f>DAYS360(E55,F55)</f>
        <v/>
      </c>
      <c r="H55" s="66" t="n">
        <v>0</v>
      </c>
      <c r="I55" s="67" t="n"/>
      <c r="J55" s="68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126" t="n"/>
      <c r="AO55" s="126" t="n"/>
      <c r="AP55" s="126" t="n"/>
      <c r="AQ55" s="126" t="n"/>
      <c r="AR55" s="126" t="n"/>
      <c r="AS55" s="126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  <c r="BJ55" s="73" t="n"/>
      <c r="BK55" s="73" t="n"/>
      <c r="BL55" s="73" t="n"/>
      <c r="BM55" s="73" t="n"/>
      <c r="BN55" s="73" t="n"/>
      <c r="BO55" s="73" t="n"/>
      <c r="BP55" s="77" t="n"/>
    </row>
    <row r="56">
      <c r="B56" s="62" t="inlineStr">
        <is>
          <t>8.7</t>
        </is>
      </c>
      <c r="C56" s="63" t="inlineStr">
        <is>
          <t>A2A 실패·타임아웃·취소·인증 회귀 점검</t>
        </is>
      </c>
      <c r="D56" s="63" t="inlineStr">
        <is>
          <t>정세환</t>
        </is>
      </c>
      <c r="E56" s="125" t="n">
        <v>46302</v>
      </c>
      <c r="F56" s="125" t="n">
        <v>46309</v>
      </c>
      <c r="G56" s="65">
        <f>DAYS360(E56,F56)</f>
        <v/>
      </c>
      <c r="H56" s="66" t="n">
        <v>0</v>
      </c>
      <c r="I56" s="67" t="n"/>
      <c r="J56" s="68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  <c r="AM56" s="73" t="n"/>
      <c r="AN56" s="73" t="n"/>
      <c r="AO56" s="73" t="n"/>
      <c r="AP56" s="73" t="n"/>
      <c r="AQ56" s="73" t="n"/>
      <c r="AR56" s="73" t="n"/>
      <c r="AS56" s="73" t="n"/>
      <c r="AT56" s="126" t="n"/>
      <c r="AU56" s="126" t="n"/>
      <c r="AV56" s="126" t="n"/>
      <c r="AW56" s="126" t="n"/>
      <c r="AX56" s="126" t="n"/>
      <c r="AY56" s="126" t="n"/>
      <c r="AZ56" s="73" t="n"/>
      <c r="BA56" s="73" t="n"/>
      <c r="BB56" s="73" t="n"/>
      <c r="BC56" s="73" t="n"/>
      <c r="BD56" s="73" t="n"/>
      <c r="BE56" s="73" t="n"/>
      <c r="BF56" s="73" t="n"/>
      <c r="BG56" s="73" t="n"/>
      <c r="BH56" s="73" t="n"/>
      <c r="BI56" s="73" t="n"/>
      <c r="BJ56" s="73" t="n"/>
      <c r="BK56" s="73" t="n"/>
      <c r="BL56" s="73" t="n"/>
      <c r="BM56" s="73" t="n"/>
      <c r="BN56" s="73" t="n"/>
      <c r="BO56" s="73" t="n"/>
      <c r="BP56" s="77" t="n"/>
    </row>
    <row r="57">
      <c r="B57" s="62" t="inlineStr">
        <is>
          <t>8.8</t>
        </is>
      </c>
      <c r="C57" s="63" t="inlineStr">
        <is>
          <t>input-required·callback·cancel 과 승인·감사 최종 확인</t>
        </is>
      </c>
      <c r="D57" s="63" t="inlineStr">
        <is>
          <t>정세환</t>
        </is>
      </c>
      <c r="E57" s="125" t="n">
        <v>46316</v>
      </c>
      <c r="F57" s="125" t="n">
        <v>46319</v>
      </c>
      <c r="G57" s="65">
        <f>DAYS360(E57,F57)</f>
        <v/>
      </c>
      <c r="H57" s="66" t="n">
        <v>0</v>
      </c>
      <c r="I57" s="67" t="n"/>
      <c r="J57" s="68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3" t="n"/>
      <c r="AS57" s="73" t="n"/>
      <c r="AT57" s="73" t="n"/>
      <c r="AU57" s="73" t="n"/>
      <c r="AV57" s="73" t="n"/>
      <c r="AW57" s="73" t="n"/>
      <c r="AX57" s="73" t="n"/>
      <c r="AY57" s="73" t="n"/>
      <c r="AZ57" s="73" t="n"/>
      <c r="BA57" s="73" t="n"/>
      <c r="BB57" s="73" t="n"/>
      <c r="BC57" s="73" t="n"/>
      <c r="BD57" s="126" t="n"/>
      <c r="BE57" s="126" t="n"/>
      <c r="BF57" s="126" t="n"/>
      <c r="BG57" s="73" t="n"/>
      <c r="BH57" s="73" t="n"/>
      <c r="BI57" s="73" t="n"/>
      <c r="BJ57" s="73" t="n"/>
      <c r="BK57" s="73" t="n"/>
      <c r="BL57" s="73" t="n"/>
      <c r="BM57" s="73" t="n"/>
      <c r="BN57" s="73" t="n"/>
      <c r="BO57" s="73" t="n"/>
      <c r="BP57" s="77" t="n"/>
    </row>
    <row r="58">
      <c r="B58" s="54" t="inlineStr">
        <is>
          <t>9.0</t>
        </is>
      </c>
      <c r="C58" s="55" t="inlineStr">
        <is>
          <t>모델·반품환불</t>
        </is>
      </c>
      <c r="D58" s="56" t="n"/>
      <c r="E58" s="119" t="n">
        <v>46251</v>
      </c>
      <c r="F58" s="119" t="n">
        <v>46309</v>
      </c>
      <c r="G58" s="56">
        <f>DAYS360(E58,F58)</f>
        <v/>
      </c>
      <c r="H58" s="120" t="n">
        <v>0.61</v>
      </c>
      <c r="I58" s="124" t="n"/>
      <c r="J58" s="127" t="n"/>
      <c r="K58" s="128" t="n"/>
      <c r="L58" s="128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24" t="n"/>
      <c r="Z58" s="124" t="n"/>
      <c r="AA58" s="124" t="n"/>
      <c r="AB58" s="124" t="n"/>
      <c r="AC58" s="124" t="n"/>
      <c r="AD58" s="124" t="n"/>
      <c r="AE58" s="124" t="n"/>
      <c r="AF58" s="124" t="n"/>
      <c r="AG58" s="124" t="n"/>
      <c r="AH58" s="124" t="n"/>
      <c r="AI58" s="124" t="n"/>
      <c r="AJ58" s="124" t="n"/>
      <c r="AK58" s="124" t="n"/>
      <c r="AL58" s="124" t="n"/>
      <c r="AM58" s="124" t="n"/>
      <c r="AN58" s="124" t="n"/>
      <c r="AO58" s="124" t="n"/>
      <c r="AP58" s="124" t="n"/>
      <c r="AQ58" s="124" t="n"/>
      <c r="AR58" s="124" t="n"/>
      <c r="AS58" s="124" t="n"/>
      <c r="AT58" s="124" t="n"/>
      <c r="AU58" s="124" t="n"/>
      <c r="AV58" s="124" t="n"/>
      <c r="AW58" s="124" t="n"/>
      <c r="AX58" s="124" t="n"/>
      <c r="AY58" s="124" t="n"/>
      <c r="AZ58" s="121" t="n"/>
      <c r="BA58" s="121" t="n"/>
      <c r="BB58" s="121" t="n"/>
      <c r="BC58" s="121" t="n"/>
      <c r="BD58" s="121" t="n"/>
      <c r="BE58" s="121" t="n"/>
      <c r="BF58" s="121" t="n"/>
      <c r="BG58" s="121" t="n"/>
      <c r="BH58" s="121" t="n"/>
      <c r="BI58" s="121" t="n"/>
      <c r="BJ58" s="121" t="n"/>
      <c r="BK58" s="121" t="n"/>
      <c r="BL58" s="121" t="n"/>
      <c r="BM58" s="121" t="n"/>
      <c r="BN58" s="121" t="n"/>
      <c r="BO58" s="121" t="n"/>
      <c r="BP58" s="121" t="n"/>
    </row>
    <row r="59">
      <c r="B59" s="62" t="inlineStr">
        <is>
          <t>9.1</t>
        </is>
      </c>
      <c r="C59" s="63" t="inlineStr">
        <is>
          <t>담당 모듈 Capability 정의와 policy_check 계약 합의</t>
        </is>
      </c>
      <c r="D59" s="63" t="inlineStr">
        <is>
          <t>서유현</t>
        </is>
      </c>
      <c r="E59" s="125" t="n">
        <v>46251</v>
      </c>
      <c r="F59" s="125" t="n">
        <v>46261</v>
      </c>
      <c r="G59" s="65">
        <f>DAYS360(E59,F59)</f>
        <v/>
      </c>
      <c r="H59" s="66" t="n">
        <v>1</v>
      </c>
      <c r="I59" s="129" t="n"/>
      <c r="J59" s="130" t="n"/>
      <c r="K59" s="131" t="n"/>
      <c r="L59" s="131" t="n"/>
      <c r="M59" s="131" t="n"/>
      <c r="N59" s="131" t="n"/>
      <c r="O59" s="131" t="n"/>
      <c r="P59" s="131" t="n"/>
      <c r="Q59" s="131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3" t="n"/>
      <c r="AS59" s="73" t="n"/>
      <c r="AT59" s="73" t="n"/>
      <c r="AU59" s="73" t="n"/>
      <c r="AV59" s="73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3" t="n"/>
      <c r="BH59" s="73" t="n"/>
      <c r="BI59" s="73" t="n"/>
      <c r="BJ59" s="73" t="n"/>
      <c r="BK59" s="73" t="n"/>
      <c r="BL59" s="73" t="n"/>
      <c r="BM59" s="73" t="n"/>
      <c r="BN59" s="73" t="n"/>
      <c r="BO59" s="73" t="n"/>
      <c r="BP59" s="77" t="n"/>
    </row>
    <row r="60">
      <c r="B60" s="62" t="inlineStr">
        <is>
          <t>9.2</t>
        </is>
      </c>
      <c r="C60" s="63" t="inlineStr">
        <is>
          <t>반품·환불 사유 데이터셋 322건 구축·동결</t>
        </is>
      </c>
      <c r="D60" s="63" t="inlineStr">
        <is>
          <t>서유현</t>
        </is>
      </c>
      <c r="E60" s="125" t="n">
        <v>46251</v>
      </c>
      <c r="F60" s="125" t="n">
        <v>46261</v>
      </c>
      <c r="G60" s="65">
        <f>DAYS360(E60,F60)</f>
        <v/>
      </c>
      <c r="H60" s="66" t="n">
        <v>1</v>
      </c>
      <c r="I60" s="129" t="n"/>
      <c r="J60" s="130" t="n"/>
      <c r="K60" s="131" t="n"/>
      <c r="L60" s="131" t="n"/>
      <c r="M60" s="131" t="n"/>
      <c r="N60" s="131" t="n"/>
      <c r="O60" s="131" t="n"/>
      <c r="P60" s="131" t="n"/>
      <c r="Q60" s="131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  <c r="AM60" s="73" t="n"/>
      <c r="AN60" s="73" t="n"/>
      <c r="AO60" s="73" t="n"/>
      <c r="AP60" s="73" t="n"/>
      <c r="AQ60" s="73" t="n"/>
      <c r="AR60" s="73" t="n"/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  <c r="BJ60" s="73" t="n"/>
      <c r="BK60" s="73" t="n"/>
      <c r="BL60" s="73" t="n"/>
      <c r="BM60" s="73" t="n"/>
      <c r="BN60" s="73" t="n"/>
      <c r="BO60" s="73" t="n"/>
      <c r="BP60" s="77" t="n"/>
    </row>
    <row r="61">
      <c r="B61" s="62" t="inlineStr">
        <is>
          <t>9.3</t>
        </is>
      </c>
      <c r="C61" s="63" t="inlineStr">
        <is>
          <t>판매자 소명 S1~S9 유형화 및 전수 판독</t>
        </is>
      </c>
      <c r="D61" s="63" t="inlineStr">
        <is>
          <t>서유현</t>
        </is>
      </c>
      <c r="E61" s="125" t="n">
        <v>46269</v>
      </c>
      <c r="F61" s="125" t="n">
        <v>46275</v>
      </c>
      <c r="G61" s="65">
        <f>DAYS360(E61,F61)</f>
        <v/>
      </c>
      <c r="H61" s="66" t="n">
        <v>0.5</v>
      </c>
      <c r="I61" s="67" t="n"/>
      <c r="J61" s="68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126" t="n"/>
      <c r="X61" s="126" t="n"/>
      <c r="Y61" s="126" t="n"/>
      <c r="Z61" s="126" t="n"/>
      <c r="AA61" s="126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  <c r="BJ61" s="73" t="n"/>
      <c r="BK61" s="73" t="n"/>
      <c r="BL61" s="73" t="n"/>
      <c r="BM61" s="73" t="n"/>
      <c r="BN61" s="73" t="n"/>
      <c r="BO61" s="73" t="n"/>
      <c r="BP61" s="77" t="n"/>
    </row>
    <row r="62">
      <c r="B62" s="62" t="inlineStr">
        <is>
          <t>9.4</t>
        </is>
      </c>
      <c r="C62" s="63" t="inlineStr">
        <is>
          <t>법령·고시 조항 ID 체계와 policy_rag 앵커 28개</t>
        </is>
      </c>
      <c r="D62" s="63" t="inlineStr">
        <is>
          <t>서유현</t>
        </is>
      </c>
      <c r="E62" s="125" t="n">
        <v>46251</v>
      </c>
      <c r="F62" s="125" t="n">
        <v>46261</v>
      </c>
      <c r="G62" s="65">
        <f>DAYS360(E62,F62)</f>
        <v/>
      </c>
      <c r="H62" s="66" t="n">
        <v>1</v>
      </c>
      <c r="I62" s="129" t="n"/>
      <c r="J62" s="130" t="n"/>
      <c r="K62" s="131" t="n"/>
      <c r="L62" s="131" t="n"/>
      <c r="M62" s="131" t="n"/>
      <c r="N62" s="131" t="n"/>
      <c r="O62" s="131" t="n"/>
      <c r="P62" s="131" t="n"/>
      <c r="Q62" s="131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  <c r="AM62" s="73" t="n"/>
      <c r="AN62" s="73" t="n"/>
      <c r="AO62" s="73" t="n"/>
      <c r="AP62" s="73" t="n"/>
      <c r="AQ62" s="73" t="n"/>
      <c r="AR62" s="73" t="n"/>
      <c r="AS62" s="73" t="n"/>
      <c r="AT62" s="73" t="n"/>
      <c r="AU62" s="73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  <c r="BJ62" s="73" t="n"/>
      <c r="BK62" s="73" t="n"/>
      <c r="BL62" s="73" t="n"/>
      <c r="BM62" s="73" t="n"/>
      <c r="BN62" s="73" t="n"/>
      <c r="BO62" s="73" t="n"/>
      <c r="BP62" s="77" t="n"/>
    </row>
    <row r="63">
      <c r="B63" s="62" t="inlineStr">
        <is>
          <t>9.5</t>
        </is>
      </c>
      <c r="C63" s="63" t="inlineStr">
        <is>
          <t>참조 테이블 3종(영업일·택배이벤트·도서산간)</t>
        </is>
      </c>
      <c r="D63" s="63" t="inlineStr">
        <is>
          <t>서유현</t>
        </is>
      </c>
      <c r="E63" s="125" t="n">
        <v>46251</v>
      </c>
      <c r="F63" s="125" t="n">
        <v>46261</v>
      </c>
      <c r="G63" s="65">
        <f>DAYS360(E63,F63)</f>
        <v/>
      </c>
      <c r="H63" s="66" t="n">
        <v>1</v>
      </c>
      <c r="I63" s="129" t="n"/>
      <c r="J63" s="130" t="n"/>
      <c r="K63" s="131" t="n"/>
      <c r="L63" s="131" t="n"/>
      <c r="M63" s="131" t="n"/>
      <c r="N63" s="131" t="n"/>
      <c r="O63" s="131" t="n"/>
      <c r="P63" s="131" t="n"/>
      <c r="Q63" s="131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3" t="n"/>
      <c r="BH63" s="73" t="n"/>
      <c r="BI63" s="73" t="n"/>
      <c r="BJ63" s="73" t="n"/>
      <c r="BK63" s="73" t="n"/>
      <c r="BL63" s="73" t="n"/>
      <c r="BM63" s="73" t="n"/>
      <c r="BN63" s="73" t="n"/>
      <c r="BO63" s="73" t="n"/>
      <c r="BP63" s="77" t="n"/>
    </row>
    <row r="64">
      <c r="B64" s="62" t="inlineStr">
        <is>
          <t>9.6</t>
        </is>
      </c>
      <c r="C64" s="63" t="inlineStr">
        <is>
          <t>verdict_engine 17행 판정 매트릭스와 단위테스트 33건</t>
        </is>
      </c>
      <c r="D64" s="63" t="inlineStr">
        <is>
          <t>서유현</t>
        </is>
      </c>
      <c r="E64" s="125" t="n">
        <v>46262</v>
      </c>
      <c r="F64" s="125" t="n">
        <v>46268</v>
      </c>
      <c r="G64" s="65">
        <f>DAYS360(E64,F64)</f>
        <v/>
      </c>
      <c r="H64" s="66" t="n">
        <v>1</v>
      </c>
      <c r="I64" s="67" t="n"/>
      <c r="J64" s="68" t="n"/>
      <c r="K64" s="73" t="n"/>
      <c r="L64" s="73" t="n"/>
      <c r="M64" s="73" t="n"/>
      <c r="N64" s="73" t="n"/>
      <c r="O64" s="73" t="n"/>
      <c r="P64" s="73" t="n"/>
      <c r="Q64" s="73" t="n"/>
      <c r="R64" s="131" t="n"/>
      <c r="S64" s="131" t="n"/>
      <c r="T64" s="131" t="n"/>
      <c r="U64" s="131" t="n"/>
      <c r="V64" s="131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  <c r="AM64" s="73" t="n"/>
      <c r="AN64" s="73" t="n"/>
      <c r="AO64" s="73" t="n"/>
      <c r="AP64" s="73" t="n"/>
      <c r="AQ64" s="73" t="n"/>
      <c r="AR64" s="73" t="n"/>
      <c r="AS64" s="73" t="n"/>
      <c r="AT64" s="73" t="n"/>
      <c r="AU64" s="73" t="n"/>
      <c r="AV64" s="73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  <c r="BJ64" s="73" t="n"/>
      <c r="BK64" s="73" t="n"/>
      <c r="BL64" s="73" t="n"/>
      <c r="BM64" s="73" t="n"/>
      <c r="BN64" s="73" t="n"/>
      <c r="BO64" s="73" t="n"/>
      <c r="BP64" s="77" t="n"/>
    </row>
    <row r="65">
      <c r="B65" s="62" t="inlineStr">
        <is>
          <t>9.7</t>
        </is>
      </c>
      <c r="C65" s="63" t="inlineStr">
        <is>
          <t>환불 금액 산정을 쇼핑몰 계산값 대조 방식으로 전환</t>
        </is>
      </c>
      <c r="D65" s="63" t="inlineStr">
        <is>
          <t>서유현</t>
        </is>
      </c>
      <c r="E65" s="125" t="n">
        <v>46283</v>
      </c>
      <c r="F65" s="125" t="n">
        <v>46293</v>
      </c>
      <c r="G65" s="65">
        <f>DAYS360(E65,F65)</f>
        <v/>
      </c>
      <c r="H65" s="66" t="n">
        <v>0</v>
      </c>
      <c r="I65" s="67" t="n"/>
      <c r="J65" s="68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126" t="n"/>
      <c r="AH65" s="126" t="n"/>
      <c r="AI65" s="126" t="n"/>
      <c r="AJ65" s="126" t="n"/>
      <c r="AK65" s="126" t="n"/>
      <c r="AL65" s="126" t="n"/>
      <c r="AM65" s="126" t="n"/>
      <c r="AN65" s="73" t="n"/>
      <c r="AO65" s="73" t="n"/>
      <c r="AP65" s="73" t="n"/>
      <c r="AQ65" s="73" t="n"/>
      <c r="AR65" s="73" t="n"/>
      <c r="AS65" s="73" t="n"/>
      <c r="AT65" s="73" t="n"/>
      <c r="AU65" s="73" t="n"/>
      <c r="AV65" s="73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3" t="n"/>
      <c r="BH65" s="73" t="n"/>
      <c r="BI65" s="73" t="n"/>
      <c r="BJ65" s="73" t="n"/>
      <c r="BK65" s="73" t="n"/>
      <c r="BL65" s="73" t="n"/>
      <c r="BM65" s="73" t="n"/>
      <c r="BN65" s="73" t="n"/>
      <c r="BO65" s="73" t="n"/>
      <c r="BP65" s="77" t="n"/>
    </row>
    <row r="66">
      <c r="B66" s="62" t="inlineStr">
        <is>
          <t>9.8</t>
        </is>
      </c>
      <c r="C66" s="63" t="inlineStr">
        <is>
          <t>Fulfillment &amp; Logistics 구현(배송 이벤트·ETA)</t>
        </is>
      </c>
      <c r="D66" s="63" t="inlineStr">
        <is>
          <t>서유현</t>
        </is>
      </c>
      <c r="E66" s="125" t="n">
        <v>46294</v>
      </c>
      <c r="F66" s="125" t="n">
        <v>46301</v>
      </c>
      <c r="G66" s="65">
        <f>DAYS360(E66,F66)</f>
        <v/>
      </c>
      <c r="H66" s="66" t="n">
        <v>0</v>
      </c>
      <c r="I66" s="67" t="n"/>
      <c r="J66" s="68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  <c r="AM66" s="73" t="n"/>
      <c r="AN66" s="126" t="n"/>
      <c r="AO66" s="126" t="n"/>
      <c r="AP66" s="126" t="n"/>
      <c r="AQ66" s="126" t="n"/>
      <c r="AR66" s="126" t="n"/>
      <c r="AS66" s="126" t="n"/>
      <c r="AT66" s="73" t="n"/>
      <c r="AU66" s="73" t="n"/>
      <c r="AV66" s="73" t="n"/>
      <c r="AW66" s="73" t="n"/>
      <c r="AX66" s="73" t="n"/>
      <c r="AY66" s="73" t="n"/>
      <c r="AZ66" s="73" t="n"/>
      <c r="BA66" s="73" t="n"/>
      <c r="BB66" s="73" t="n"/>
      <c r="BC66" s="73" t="n"/>
      <c r="BD66" s="73" t="n"/>
      <c r="BE66" s="73" t="n"/>
      <c r="BF66" s="73" t="n"/>
      <c r="BG66" s="73" t="n"/>
      <c r="BH66" s="73" t="n"/>
      <c r="BI66" s="73" t="n"/>
      <c r="BJ66" s="73" t="n"/>
      <c r="BK66" s="73" t="n"/>
      <c r="BL66" s="73" t="n"/>
      <c r="BM66" s="73" t="n"/>
      <c r="BN66" s="73" t="n"/>
      <c r="BO66" s="73" t="n"/>
      <c r="BP66" s="77" t="n"/>
    </row>
    <row r="67">
      <c r="B67" s="62" t="inlineStr">
        <is>
          <t>9.9</t>
        </is>
      </c>
      <c r="C67" s="63" t="inlineStr">
        <is>
          <t>Evidence 모듈 구현(증빙 recall·evidence_gap)</t>
        </is>
      </c>
      <c r="D67" s="63" t="inlineStr">
        <is>
          <t>서유현</t>
        </is>
      </c>
      <c r="E67" s="125" t="n">
        <v>46302</v>
      </c>
      <c r="F67" s="125" t="n">
        <v>46309</v>
      </c>
      <c r="G67" s="65">
        <f>DAYS360(E67,F67)</f>
        <v/>
      </c>
      <c r="H67" s="66" t="n">
        <v>0</v>
      </c>
      <c r="I67" s="67" t="n"/>
      <c r="J67" s="68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3" t="n"/>
      <c r="AS67" s="73" t="n"/>
      <c r="AT67" s="126" t="n"/>
      <c r="AU67" s="126" t="n"/>
      <c r="AV67" s="126" t="n"/>
      <c r="AW67" s="126" t="n"/>
      <c r="AX67" s="126" t="n"/>
      <c r="AY67" s="126" t="n"/>
      <c r="AZ67" s="73" t="n"/>
      <c r="BA67" s="73" t="n"/>
      <c r="BB67" s="73" t="n"/>
      <c r="BC67" s="73" t="n"/>
      <c r="BD67" s="73" t="n"/>
      <c r="BE67" s="73" t="n"/>
      <c r="BF67" s="73" t="n"/>
      <c r="BG67" s="73" t="n"/>
      <c r="BH67" s="73" t="n"/>
      <c r="BI67" s="73" t="n"/>
      <c r="BJ67" s="73" t="n"/>
      <c r="BK67" s="73" t="n"/>
      <c r="BL67" s="73" t="n"/>
      <c r="BM67" s="73" t="n"/>
      <c r="BN67" s="73" t="n"/>
      <c r="BO67" s="73" t="n"/>
      <c r="BP67" s="77" t="n"/>
    </row>
    <row r="68">
      <c r="B68" s="54" t="inlineStr">
        <is>
          <t>10.0</t>
        </is>
      </c>
      <c r="C68" s="55" t="inlineStr">
        <is>
          <t>모델·응답검토</t>
        </is>
      </c>
      <c r="D68" s="56" t="n"/>
      <c r="E68" s="119" t="n">
        <v>46251</v>
      </c>
      <c r="F68" s="119" t="n">
        <v>46309</v>
      </c>
      <c r="G68" s="56">
        <f>DAYS360(E68,F68)</f>
        <v/>
      </c>
      <c r="H68" s="120" t="n">
        <v>0.25</v>
      </c>
      <c r="I68" s="124" t="n"/>
      <c r="J68" s="127" t="n"/>
      <c r="K68" s="128" t="n"/>
      <c r="L68" s="128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  <c r="AF68" s="124" t="n"/>
      <c r="AG68" s="124" t="n"/>
      <c r="AH68" s="124" t="n"/>
      <c r="AI68" s="124" t="n"/>
      <c r="AJ68" s="124" t="n"/>
      <c r="AK68" s="124" t="n"/>
      <c r="AL68" s="124" t="n"/>
      <c r="AM68" s="124" t="n"/>
      <c r="AN68" s="124" t="n"/>
      <c r="AO68" s="124" t="n"/>
      <c r="AP68" s="124" t="n"/>
      <c r="AQ68" s="124" t="n"/>
      <c r="AR68" s="124" t="n"/>
      <c r="AS68" s="124" t="n"/>
      <c r="AT68" s="124" t="n"/>
      <c r="AU68" s="124" t="n"/>
      <c r="AV68" s="124" t="n"/>
      <c r="AW68" s="124" t="n"/>
      <c r="AX68" s="124" t="n"/>
      <c r="AY68" s="124" t="n"/>
      <c r="AZ68" s="121" t="n"/>
      <c r="BA68" s="121" t="n"/>
      <c r="BB68" s="121" t="n"/>
      <c r="BC68" s="121" t="n"/>
      <c r="BD68" s="121" t="n"/>
      <c r="BE68" s="121" t="n"/>
      <c r="BF68" s="121" t="n"/>
      <c r="BG68" s="121" t="n"/>
      <c r="BH68" s="121" t="n"/>
      <c r="BI68" s="121" t="n"/>
      <c r="BJ68" s="121" t="n"/>
      <c r="BK68" s="121" t="n"/>
      <c r="BL68" s="121" t="n"/>
      <c r="BM68" s="121" t="n"/>
      <c r="BN68" s="121" t="n"/>
      <c r="BO68" s="121" t="n"/>
      <c r="BP68" s="121" t="n"/>
    </row>
    <row r="69">
      <c r="B69" s="62" t="inlineStr">
        <is>
          <t>10.1</t>
        </is>
      </c>
      <c r="C69" s="63" t="inlineStr">
        <is>
          <t>분류 라벨 어휘와 프롬프트 구현</t>
        </is>
      </c>
      <c r="D69" s="63" t="inlineStr">
        <is>
          <t>송채영</t>
        </is>
      </c>
      <c r="E69" s="125" t="n">
        <v>46251</v>
      </c>
      <c r="F69" s="125" t="n">
        <v>46261</v>
      </c>
      <c r="G69" s="65">
        <f>DAYS360(E69,F69)</f>
        <v/>
      </c>
      <c r="H69" s="66" t="n">
        <v>1</v>
      </c>
      <c r="I69" s="129" t="n"/>
      <c r="J69" s="130" t="n"/>
      <c r="K69" s="131" t="n"/>
      <c r="L69" s="131" t="n"/>
      <c r="M69" s="131" t="n"/>
      <c r="N69" s="131" t="n"/>
      <c r="O69" s="131" t="n"/>
      <c r="P69" s="131" t="n"/>
      <c r="Q69" s="131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3" t="n"/>
      <c r="AS69" s="73" t="n"/>
      <c r="AT69" s="73" t="n"/>
      <c r="AU69" s="73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  <c r="BJ69" s="73" t="n"/>
      <c r="BK69" s="73" t="n"/>
      <c r="BL69" s="73" t="n"/>
      <c r="BM69" s="73" t="n"/>
      <c r="BN69" s="73" t="n"/>
      <c r="BO69" s="73" t="n"/>
      <c r="BP69" s="77" t="n"/>
    </row>
    <row r="70">
      <c r="B70" s="62" t="inlineStr">
        <is>
          <t>10.2</t>
        </is>
      </c>
      <c r="C70" s="63" t="inlineStr">
        <is>
          <t>Response Generation &amp; Review GEN→REV 흐름 구현</t>
        </is>
      </c>
      <c r="D70" s="63" t="inlineStr">
        <is>
          <t>송채영</t>
        </is>
      </c>
      <c r="E70" s="125" t="n">
        <v>46276</v>
      </c>
      <c r="F70" s="125" t="n">
        <v>46282</v>
      </c>
      <c r="G70" s="65">
        <f>DAYS360(E70,F70)</f>
        <v/>
      </c>
      <c r="H70" s="66" t="n">
        <v>0.5</v>
      </c>
      <c r="I70" s="67" t="n"/>
      <c r="J70" s="68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126" t="n"/>
      <c r="AC70" s="126" t="n"/>
      <c r="AD70" s="126" t="n"/>
      <c r="AE70" s="126" t="n"/>
      <c r="AF70" s="126" t="n"/>
      <c r="AG70" s="73" t="n"/>
      <c r="AH70" s="73" t="n"/>
      <c r="AI70" s="73" t="n"/>
      <c r="AJ70" s="73" t="n"/>
      <c r="AK70" s="73" t="n"/>
      <c r="AL70" s="73" t="n"/>
      <c r="AM70" s="73" t="n"/>
      <c r="AN70" s="73" t="n"/>
      <c r="AO70" s="73" t="n"/>
      <c r="AP70" s="73" t="n"/>
      <c r="AQ70" s="73" t="n"/>
      <c r="AR70" s="73" t="n"/>
      <c r="AS70" s="73" t="n"/>
      <c r="AT70" s="73" t="n"/>
      <c r="AU70" s="73" t="n"/>
      <c r="AV70" s="73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3" t="n"/>
      <c r="BH70" s="73" t="n"/>
      <c r="BI70" s="73" t="n"/>
      <c r="BJ70" s="73" t="n"/>
      <c r="BK70" s="73" t="n"/>
      <c r="BL70" s="73" t="n"/>
      <c r="BM70" s="73" t="n"/>
      <c r="BN70" s="73" t="n"/>
      <c r="BO70" s="73" t="n"/>
      <c r="BP70" s="77" t="n"/>
    </row>
    <row r="71">
      <c r="B71" s="62" t="inlineStr">
        <is>
          <t>10.3</t>
        </is>
      </c>
      <c r="C71" s="63" t="inlineStr">
        <is>
          <t>RAG corpus chunk·metadata·embedding 정리</t>
        </is>
      </c>
      <c r="D71" s="63" t="inlineStr">
        <is>
          <t>송채영</t>
        </is>
      </c>
      <c r="E71" s="125" t="n">
        <v>46276</v>
      </c>
      <c r="F71" s="125" t="n">
        <v>46282</v>
      </c>
      <c r="G71" s="65">
        <f>DAYS360(E71,F71)</f>
        <v/>
      </c>
      <c r="H71" s="66" t="n">
        <v>0</v>
      </c>
      <c r="I71" s="67" t="n"/>
      <c r="J71" s="68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126" t="n"/>
      <c r="AC71" s="126" t="n"/>
      <c r="AD71" s="126" t="n"/>
      <c r="AE71" s="126" t="n"/>
      <c r="AF71" s="126" t="n"/>
      <c r="AG71" s="73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3" t="n"/>
      <c r="AS71" s="73" t="n"/>
      <c r="AT71" s="73" t="n"/>
      <c r="AU71" s="73" t="n"/>
      <c r="AV71" s="73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3" t="n"/>
      <c r="BH71" s="73" t="n"/>
      <c r="BI71" s="73" t="n"/>
      <c r="BJ71" s="73" t="n"/>
      <c r="BK71" s="73" t="n"/>
      <c r="BL71" s="73" t="n"/>
      <c r="BM71" s="73" t="n"/>
      <c r="BN71" s="73" t="n"/>
      <c r="BO71" s="73" t="n"/>
      <c r="BP71" s="77" t="n"/>
    </row>
    <row r="72">
      <c r="B72" s="62" t="inlineStr">
        <is>
          <t>10.4</t>
        </is>
      </c>
      <c r="C72" s="63" t="inlineStr">
        <is>
          <t>RAG 25문서/300~400청크와 Team 통합 보완</t>
        </is>
      </c>
      <c r="D72" s="63" t="inlineStr">
        <is>
          <t>송채영</t>
        </is>
      </c>
      <c r="E72" s="125" t="n">
        <v>46283</v>
      </c>
      <c r="F72" s="125" t="n">
        <v>46293</v>
      </c>
      <c r="G72" s="65">
        <f>DAYS360(E72,F72)</f>
        <v/>
      </c>
      <c r="H72" s="66" t="n">
        <v>0</v>
      </c>
      <c r="I72" s="67" t="n"/>
      <c r="J72" s="68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126" t="n"/>
      <c r="AH72" s="126" t="n"/>
      <c r="AI72" s="126" t="n"/>
      <c r="AJ72" s="126" t="n"/>
      <c r="AK72" s="126" t="n"/>
      <c r="AL72" s="126" t="n"/>
      <c r="AM72" s="126" t="n"/>
      <c r="AN72" s="73" t="n"/>
      <c r="AO72" s="73" t="n"/>
      <c r="AP72" s="73" t="n"/>
      <c r="AQ72" s="73" t="n"/>
      <c r="AR72" s="73" t="n"/>
      <c r="AS72" s="73" t="n"/>
      <c r="AT72" s="73" t="n"/>
      <c r="AU72" s="73" t="n"/>
      <c r="AV72" s="73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3" t="n"/>
      <c r="BH72" s="73" t="n"/>
      <c r="BI72" s="73" t="n"/>
      <c r="BJ72" s="73" t="n"/>
      <c r="BK72" s="73" t="n"/>
      <c r="BL72" s="73" t="n"/>
      <c r="BM72" s="73" t="n"/>
      <c r="BN72" s="73" t="n"/>
      <c r="BO72" s="73" t="n"/>
      <c r="BP72" s="77" t="n"/>
    </row>
    <row r="73">
      <c r="B73" s="62" t="inlineStr">
        <is>
          <t>10.5</t>
        </is>
      </c>
      <c r="C73" s="63" t="inlineStr">
        <is>
          <t>sLLM 파인튜닝 경로와 방어 지표 측정</t>
        </is>
      </c>
      <c r="D73" s="63" t="inlineStr">
        <is>
          <t>송채영</t>
        </is>
      </c>
      <c r="E73" s="125" t="n">
        <v>46294</v>
      </c>
      <c r="F73" s="125" t="n">
        <v>46301</v>
      </c>
      <c r="G73" s="65">
        <f>DAYS360(E73,F73)</f>
        <v/>
      </c>
      <c r="H73" s="66" t="n">
        <v>0</v>
      </c>
      <c r="I73" s="67" t="n"/>
      <c r="J73" s="68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126" t="n"/>
      <c r="AO73" s="126" t="n"/>
      <c r="AP73" s="126" t="n"/>
      <c r="AQ73" s="126" t="n"/>
      <c r="AR73" s="126" t="n"/>
      <c r="AS73" s="126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  <c r="BJ73" s="73" t="n"/>
      <c r="BK73" s="73" t="n"/>
      <c r="BL73" s="73" t="n"/>
      <c r="BM73" s="73" t="n"/>
      <c r="BN73" s="73" t="n"/>
      <c r="BO73" s="73" t="n"/>
      <c r="BP73" s="77" t="n"/>
    </row>
    <row r="74">
      <c r="B74" s="62" t="inlineStr">
        <is>
          <t>10.6</t>
        </is>
      </c>
      <c r="C74" s="63" t="inlineStr">
        <is>
          <t>REV 반려 재시도 상한과 개인정보 차단 검증</t>
        </is>
      </c>
      <c r="D74" s="63" t="inlineStr">
        <is>
          <t>송채영</t>
        </is>
      </c>
      <c r="E74" s="125" t="n">
        <v>46302</v>
      </c>
      <c r="F74" s="125" t="n">
        <v>46309</v>
      </c>
      <c r="G74" s="65">
        <f>DAYS360(E74,F74)</f>
        <v/>
      </c>
      <c r="H74" s="66" t="n">
        <v>0</v>
      </c>
      <c r="I74" s="67" t="n"/>
      <c r="J74" s="68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  <c r="AM74" s="73" t="n"/>
      <c r="AN74" s="73" t="n"/>
      <c r="AO74" s="73" t="n"/>
      <c r="AP74" s="73" t="n"/>
      <c r="AQ74" s="73" t="n"/>
      <c r="AR74" s="73" t="n"/>
      <c r="AS74" s="73" t="n"/>
      <c r="AT74" s="126" t="n"/>
      <c r="AU74" s="126" t="n"/>
      <c r="AV74" s="126" t="n"/>
      <c r="AW74" s="126" t="n"/>
      <c r="AX74" s="126" t="n"/>
      <c r="AY74" s="126" t="n"/>
      <c r="AZ74" s="73" t="n"/>
      <c r="BA74" s="73" t="n"/>
      <c r="BB74" s="73" t="n"/>
      <c r="BC74" s="73" t="n"/>
      <c r="BD74" s="73" t="n"/>
      <c r="BE74" s="73" t="n"/>
      <c r="BF74" s="73" t="n"/>
      <c r="BG74" s="73" t="n"/>
      <c r="BH74" s="73" t="n"/>
      <c r="BI74" s="73" t="n"/>
      <c r="BJ74" s="73" t="n"/>
      <c r="BK74" s="73" t="n"/>
      <c r="BL74" s="73" t="n"/>
      <c r="BM74" s="73" t="n"/>
      <c r="BN74" s="73" t="n"/>
      <c r="BO74" s="73" t="n"/>
      <c r="BP74" s="77" t="n"/>
    </row>
    <row r="75">
      <c r="B75" s="54" t="inlineStr">
        <is>
          <t>11.0</t>
        </is>
      </c>
      <c r="C75" s="55" t="inlineStr">
        <is>
          <t>검증·프론트</t>
        </is>
      </c>
      <c r="D75" s="56" t="n"/>
      <c r="E75" s="119" t="n">
        <v>46251</v>
      </c>
      <c r="F75" s="119" t="n">
        <v>46319</v>
      </c>
      <c r="G75" s="56">
        <f>DAYS360(E75,F75)</f>
        <v/>
      </c>
      <c r="H75" s="120" t="n">
        <v>0.25</v>
      </c>
      <c r="I75" s="124" t="n"/>
      <c r="J75" s="127" t="n"/>
      <c r="K75" s="128" t="n"/>
      <c r="L75" s="128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24" t="n"/>
      <c r="Z75" s="124" t="n"/>
      <c r="AA75" s="124" t="n"/>
      <c r="AB75" s="124" t="n"/>
      <c r="AC75" s="124" t="n"/>
      <c r="AD75" s="124" t="n"/>
      <c r="AE75" s="124" t="n"/>
      <c r="AF75" s="124" t="n"/>
      <c r="AG75" s="124" t="n"/>
      <c r="AH75" s="124" t="n"/>
      <c r="AI75" s="124" t="n"/>
      <c r="AJ75" s="124" t="n"/>
      <c r="AK75" s="124" t="n"/>
      <c r="AL75" s="124" t="n"/>
      <c r="AM75" s="124" t="n"/>
      <c r="AN75" s="124" t="n"/>
      <c r="AO75" s="124" t="n"/>
      <c r="AP75" s="124" t="n"/>
      <c r="AQ75" s="124" t="n"/>
      <c r="AR75" s="124" t="n"/>
      <c r="AS75" s="124" t="n"/>
      <c r="AT75" s="124" t="n"/>
      <c r="AU75" s="124" t="n"/>
      <c r="AV75" s="124" t="n"/>
      <c r="AW75" s="124" t="n"/>
      <c r="AX75" s="124" t="n"/>
      <c r="AY75" s="124" t="n"/>
      <c r="AZ75" s="124" t="n"/>
      <c r="BA75" s="124" t="n"/>
      <c r="BB75" s="124" t="n"/>
      <c r="BC75" s="124" t="n"/>
      <c r="BD75" s="124" t="n"/>
      <c r="BE75" s="124" t="n"/>
      <c r="BF75" s="124" t="n"/>
      <c r="BG75" s="121" t="n"/>
      <c r="BH75" s="121" t="n"/>
      <c r="BI75" s="121" t="n"/>
      <c r="BJ75" s="121" t="n"/>
      <c r="BK75" s="121" t="n"/>
      <c r="BL75" s="121" t="n"/>
      <c r="BM75" s="121" t="n"/>
      <c r="BN75" s="121" t="n"/>
      <c r="BO75" s="121" t="n"/>
      <c r="BP75" s="121" t="n"/>
    </row>
    <row r="76">
      <c r="B76" s="62" t="inlineStr">
        <is>
          <t>11.1</t>
        </is>
      </c>
      <c r="C76" s="63" t="inlineStr">
        <is>
          <t>golden schema·UI fixture 구축</t>
        </is>
      </c>
      <c r="D76" s="63" t="inlineStr">
        <is>
          <t>검증&amp;프론트</t>
        </is>
      </c>
      <c r="E76" s="125" t="n">
        <v>46251</v>
      </c>
      <c r="F76" s="125" t="n">
        <v>46261</v>
      </c>
      <c r="G76" s="65">
        <f>DAYS360(E76,F76)</f>
        <v/>
      </c>
      <c r="H76" s="66" t="n">
        <v>1</v>
      </c>
      <c r="I76" s="129" t="n"/>
      <c r="J76" s="130" t="n"/>
      <c r="K76" s="131" t="n"/>
      <c r="L76" s="131" t="n"/>
      <c r="M76" s="131" t="n"/>
      <c r="N76" s="131" t="n"/>
      <c r="O76" s="131" t="n"/>
      <c r="P76" s="131" t="n"/>
      <c r="Q76" s="131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  <c r="AM76" s="73" t="n"/>
      <c r="AN76" s="73" t="n"/>
      <c r="AO76" s="73" t="n"/>
      <c r="AP76" s="73" t="n"/>
      <c r="AQ76" s="73" t="n"/>
      <c r="AR76" s="73" t="n"/>
      <c r="AS76" s="73" t="n"/>
      <c r="AT76" s="73" t="n"/>
      <c r="AU76" s="73" t="n"/>
      <c r="AV76" s="73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3" t="n"/>
      <c r="BH76" s="73" t="n"/>
      <c r="BI76" s="73" t="n"/>
      <c r="BJ76" s="73" t="n"/>
      <c r="BK76" s="73" t="n"/>
      <c r="BL76" s="73" t="n"/>
      <c r="BM76" s="73" t="n"/>
      <c r="BN76" s="73" t="n"/>
      <c r="BO76" s="73" t="n"/>
      <c r="BP76" s="77" t="n"/>
    </row>
    <row r="77">
      <c r="B77" s="62" t="inlineStr">
        <is>
          <t>11.2</t>
        </is>
      </c>
      <c r="C77" s="63" t="inlineStr">
        <is>
          <t>평가 harness skeleton 과 요구사항 기준 UI fixture</t>
        </is>
      </c>
      <c r="D77" s="63" t="inlineStr">
        <is>
          <t>검증&amp;프론트</t>
        </is>
      </c>
      <c r="E77" s="125" t="n">
        <v>46262</v>
      </c>
      <c r="F77" s="125" t="n">
        <v>46268</v>
      </c>
      <c r="G77" s="65">
        <f>DAYS360(E77,F77)</f>
        <v/>
      </c>
      <c r="H77" s="66" t="n">
        <v>1</v>
      </c>
      <c r="I77" s="67" t="n"/>
      <c r="J77" s="68" t="n"/>
      <c r="K77" s="73" t="n"/>
      <c r="L77" s="73" t="n"/>
      <c r="M77" s="73" t="n"/>
      <c r="N77" s="73" t="n"/>
      <c r="O77" s="73" t="n"/>
      <c r="P77" s="73" t="n"/>
      <c r="Q77" s="73" t="n"/>
      <c r="R77" s="131" t="n"/>
      <c r="S77" s="131" t="n"/>
      <c r="T77" s="131" t="n"/>
      <c r="U77" s="131" t="n"/>
      <c r="V77" s="131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3" t="n"/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  <c r="BJ77" s="73" t="n"/>
      <c r="BK77" s="73" t="n"/>
      <c r="BL77" s="73" t="n"/>
      <c r="BM77" s="73" t="n"/>
      <c r="BN77" s="73" t="n"/>
      <c r="BO77" s="73" t="n"/>
      <c r="BP77" s="77" t="n"/>
    </row>
    <row r="78">
      <c r="B78" s="62" t="inlineStr">
        <is>
          <t>11.3</t>
        </is>
      </c>
      <c r="C78" s="63" t="inlineStr">
        <is>
          <t>평가 harness 입력과 데이터 fixture 고정</t>
        </is>
      </c>
      <c r="D78" s="63" t="inlineStr">
        <is>
          <t>검증&amp;프론트</t>
        </is>
      </c>
      <c r="E78" s="125" t="n">
        <v>46269</v>
      </c>
      <c r="F78" s="125" t="n">
        <v>46275</v>
      </c>
      <c r="G78" s="65">
        <f>DAYS360(E78,F78)</f>
        <v/>
      </c>
      <c r="H78" s="66" t="n">
        <v>0</v>
      </c>
      <c r="I78" s="67" t="n"/>
      <c r="J78" s="68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126" t="n"/>
      <c r="X78" s="126" t="n"/>
      <c r="Y78" s="126" t="n"/>
      <c r="Z78" s="126" t="n"/>
      <c r="AA78" s="126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  <c r="AM78" s="73" t="n"/>
      <c r="AN78" s="73" t="n"/>
      <c r="AO78" s="73" t="n"/>
      <c r="AP78" s="73" t="n"/>
      <c r="AQ78" s="73" t="n"/>
      <c r="AR78" s="73" t="n"/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  <c r="BJ78" s="73" t="n"/>
      <c r="BK78" s="73" t="n"/>
      <c r="BL78" s="73" t="n"/>
      <c r="BM78" s="73" t="n"/>
      <c r="BN78" s="73" t="n"/>
      <c r="BO78" s="73" t="n"/>
      <c r="BP78" s="77" t="n"/>
    </row>
    <row r="79">
      <c r="B79" s="62" t="inlineStr">
        <is>
          <t>11.4</t>
        </is>
      </c>
      <c r="C79" s="63" t="inlineStr">
        <is>
          <t>Case UI 와 중간발표 demo 구성</t>
        </is>
      </c>
      <c r="D79" s="63" t="inlineStr">
        <is>
          <t>검증&amp;프론트</t>
        </is>
      </c>
      <c r="E79" s="125" t="n">
        <v>46276</v>
      </c>
      <c r="F79" s="125" t="n">
        <v>46282</v>
      </c>
      <c r="G79" s="65">
        <f>DAYS360(E79,F79)</f>
        <v/>
      </c>
      <c r="H79" s="66" t="n">
        <v>0</v>
      </c>
      <c r="I79" s="67" t="n"/>
      <c r="J79" s="68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126" t="n"/>
      <c r="AC79" s="126" t="n"/>
      <c r="AD79" s="126" t="n"/>
      <c r="AE79" s="126" t="n"/>
      <c r="AF79" s="126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  <c r="BJ79" s="73" t="n"/>
      <c r="BK79" s="73" t="n"/>
      <c r="BL79" s="73" t="n"/>
      <c r="BM79" s="73" t="n"/>
      <c r="BN79" s="73" t="n"/>
      <c r="BO79" s="73" t="n"/>
      <c r="BP79" s="77" t="n"/>
    </row>
    <row r="80">
      <c r="B80" s="62" t="inlineStr">
        <is>
          <t>11.5</t>
        </is>
      </c>
      <c r="C80" s="63" t="inlineStr">
        <is>
          <t>적절한 기권 픽스처 보강(상태 조건·혼합결제·타입 검증)</t>
        </is>
      </c>
      <c r="D80" s="63" t="inlineStr">
        <is>
          <t>검증&amp;프론트</t>
        </is>
      </c>
      <c r="E80" s="125" t="n">
        <v>46283</v>
      </c>
      <c r="F80" s="125" t="n">
        <v>46293</v>
      </c>
      <c r="G80" s="65">
        <f>DAYS360(E80,F80)</f>
        <v/>
      </c>
      <c r="H80" s="66" t="n">
        <v>0</v>
      </c>
      <c r="I80" s="67" t="n"/>
      <c r="J80" s="68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126" t="n"/>
      <c r="AH80" s="126" t="n"/>
      <c r="AI80" s="126" t="n"/>
      <c r="AJ80" s="126" t="n"/>
      <c r="AK80" s="126" t="n"/>
      <c r="AL80" s="126" t="n"/>
      <c r="AM80" s="126" t="n"/>
      <c r="AN80" s="73" t="n"/>
      <c r="AO80" s="73" t="n"/>
      <c r="AP80" s="73" t="n"/>
      <c r="AQ80" s="73" t="n"/>
      <c r="AR80" s="73" t="n"/>
      <c r="AS80" s="73" t="n"/>
      <c r="AT80" s="73" t="n"/>
      <c r="AU80" s="73" t="n"/>
      <c r="AV80" s="73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3" t="n"/>
      <c r="BH80" s="73" t="n"/>
      <c r="BI80" s="73" t="n"/>
      <c r="BJ80" s="73" t="n"/>
      <c r="BK80" s="73" t="n"/>
      <c r="BL80" s="73" t="n"/>
      <c r="BM80" s="73" t="n"/>
      <c r="BN80" s="73" t="n"/>
      <c r="BO80" s="73" t="n"/>
      <c r="BP80" s="77" t="n"/>
    </row>
    <row r="81">
      <c r="B81" s="62" t="inlineStr">
        <is>
          <t>11.6</t>
        </is>
      </c>
      <c r="C81" s="63" t="inlineStr">
        <is>
          <t>API/UI contract 와 Graph gate 측정 정리</t>
        </is>
      </c>
      <c r="D81" s="63" t="inlineStr">
        <is>
          <t>검증&amp;프론트</t>
        </is>
      </c>
      <c r="E81" s="125" t="n">
        <v>46294</v>
      </c>
      <c r="F81" s="125" t="n">
        <v>46301</v>
      </c>
      <c r="G81" s="65">
        <f>DAYS360(E81,F81)</f>
        <v/>
      </c>
      <c r="H81" s="66" t="n">
        <v>0</v>
      </c>
      <c r="I81" s="67" t="n"/>
      <c r="J81" s="68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  <c r="AM81" s="73" t="n"/>
      <c r="AN81" s="126" t="n"/>
      <c r="AO81" s="126" t="n"/>
      <c r="AP81" s="126" t="n"/>
      <c r="AQ81" s="126" t="n"/>
      <c r="AR81" s="126" t="n"/>
      <c r="AS81" s="126" t="n"/>
      <c r="AT81" s="73" t="n"/>
      <c r="AU81" s="73" t="n"/>
      <c r="AV81" s="73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3" t="n"/>
      <c r="BH81" s="73" t="n"/>
      <c r="BI81" s="73" t="n"/>
      <c r="BJ81" s="73" t="n"/>
      <c r="BK81" s="73" t="n"/>
      <c r="BL81" s="73" t="n"/>
      <c r="BM81" s="73" t="n"/>
      <c r="BN81" s="73" t="n"/>
      <c r="BO81" s="73" t="n"/>
      <c r="BP81" s="77" t="n"/>
    </row>
    <row r="82">
      <c r="B82" s="62" t="inlineStr">
        <is>
          <t>11.7</t>
        </is>
      </c>
      <c r="C82" s="63" t="inlineStr">
        <is>
          <t>end-to-end demo 회귀 점검</t>
        </is>
      </c>
      <c r="D82" s="63" t="inlineStr">
        <is>
          <t>검증&amp;프론트</t>
        </is>
      </c>
      <c r="E82" s="125" t="n">
        <v>46302</v>
      </c>
      <c r="F82" s="125" t="n">
        <v>46309</v>
      </c>
      <c r="G82" s="65">
        <f>DAYS360(E82,F82)</f>
        <v/>
      </c>
      <c r="H82" s="66" t="n">
        <v>0</v>
      </c>
      <c r="I82" s="67" t="n"/>
      <c r="J82" s="68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  <c r="AM82" s="73" t="n"/>
      <c r="AN82" s="73" t="n"/>
      <c r="AO82" s="73" t="n"/>
      <c r="AP82" s="73" t="n"/>
      <c r="AQ82" s="73" t="n"/>
      <c r="AR82" s="73" t="n"/>
      <c r="AS82" s="73" t="n"/>
      <c r="AT82" s="126" t="n"/>
      <c r="AU82" s="126" t="n"/>
      <c r="AV82" s="126" t="n"/>
      <c r="AW82" s="126" t="n"/>
      <c r="AX82" s="126" t="n"/>
      <c r="AY82" s="126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  <c r="BJ82" s="73" t="n"/>
      <c r="BK82" s="73" t="n"/>
      <c r="BL82" s="73" t="n"/>
      <c r="BM82" s="73" t="n"/>
      <c r="BN82" s="73" t="n"/>
      <c r="BO82" s="73" t="n"/>
      <c r="BP82" s="77" t="n"/>
    </row>
    <row r="83">
      <c r="B83" s="62" t="inlineStr">
        <is>
          <t>11.8</t>
        </is>
      </c>
      <c r="C83" s="63" t="inlineStr">
        <is>
          <t>모듈별 golden/holdout 실행과 bootstrap·McNemar</t>
        </is>
      </c>
      <c r="D83" s="63" t="inlineStr">
        <is>
          <t>검증&amp;프론트</t>
        </is>
      </c>
      <c r="E83" s="125" t="n">
        <v>46316</v>
      </c>
      <c r="F83" s="125" t="n">
        <v>46319</v>
      </c>
      <c r="G83" s="65">
        <f>DAYS360(E83,F83)</f>
        <v/>
      </c>
      <c r="H83" s="66" t="n">
        <v>0</v>
      </c>
      <c r="I83" s="67" t="n"/>
      <c r="J83" s="68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3" t="n"/>
      <c r="AS83" s="73" t="n"/>
      <c r="AT83" s="73" t="n"/>
      <c r="AU83" s="73" t="n"/>
      <c r="AV83" s="73" t="n"/>
      <c r="AW83" s="73" t="n"/>
      <c r="AX83" s="73" t="n"/>
      <c r="AY83" s="73" t="n"/>
      <c r="AZ83" s="73" t="n"/>
      <c r="BA83" s="73" t="n"/>
      <c r="BB83" s="73" t="n"/>
      <c r="BC83" s="73" t="n"/>
      <c r="BD83" s="126" t="n"/>
      <c r="BE83" s="126" t="n"/>
      <c r="BF83" s="126" t="n"/>
      <c r="BG83" s="73" t="n"/>
      <c r="BH83" s="73" t="n"/>
      <c r="BI83" s="73" t="n"/>
      <c r="BJ83" s="73" t="n"/>
      <c r="BK83" s="73" t="n"/>
      <c r="BL83" s="73" t="n"/>
      <c r="BM83" s="73" t="n"/>
      <c r="BN83" s="73" t="n"/>
      <c r="BO83" s="73" t="n"/>
      <c r="BP83" s="77" t="n"/>
    </row>
    <row r="84">
      <c r="B84" s="54" t="inlineStr">
        <is>
          <t>12.0</t>
        </is>
      </c>
      <c r="C84" s="55" t="inlineStr">
        <is>
          <t>공통</t>
        </is>
      </c>
      <c r="D84" s="56" t="n"/>
      <c r="E84" s="119" t="n">
        <v>46319</v>
      </c>
      <c r="F84" s="119" t="n">
        <v>46321</v>
      </c>
      <c r="G84" s="56">
        <f>DAYS360(E84,F84)</f>
        <v/>
      </c>
      <c r="H84" s="120" t="n">
        <v>0</v>
      </c>
      <c r="I84" s="121" t="n"/>
      <c r="J84" s="122" t="n"/>
      <c r="K84" s="123" t="n"/>
      <c r="L84" s="123" t="n"/>
      <c r="M84" s="121" t="n"/>
      <c r="N84" s="121" t="n"/>
      <c r="O84" s="121" t="n"/>
      <c r="P84" s="121" t="n"/>
      <c r="Q84" s="121" t="n"/>
      <c r="R84" s="121" t="n"/>
      <c r="S84" s="121" t="n"/>
      <c r="T84" s="121" t="n"/>
      <c r="U84" s="121" t="n"/>
      <c r="V84" s="121" t="n"/>
      <c r="W84" s="121" t="n"/>
      <c r="X84" s="121" t="n"/>
      <c r="Y84" s="121" t="n"/>
      <c r="Z84" s="121" t="n"/>
      <c r="AA84" s="121" t="n"/>
      <c r="AB84" s="121" t="n"/>
      <c r="AC84" s="121" t="n"/>
      <c r="AD84" s="121" t="n"/>
      <c r="AE84" s="121" t="n"/>
      <c r="AF84" s="121" t="n"/>
      <c r="AG84" s="121" t="n"/>
      <c r="AH84" s="121" t="n"/>
      <c r="AI84" s="121" t="n"/>
      <c r="AJ84" s="121" t="n"/>
      <c r="AK84" s="121" t="n"/>
      <c r="AL84" s="121" t="n"/>
      <c r="AM84" s="121" t="n"/>
      <c r="AN84" s="121" t="n"/>
      <c r="AO84" s="121" t="n"/>
      <c r="AP84" s="121" t="n"/>
      <c r="AQ84" s="121" t="n"/>
      <c r="AR84" s="121" t="n"/>
      <c r="AS84" s="121" t="n"/>
      <c r="AT84" s="121" t="n"/>
      <c r="AU84" s="121" t="n"/>
      <c r="AV84" s="121" t="n"/>
      <c r="AW84" s="121" t="n"/>
      <c r="AX84" s="121" t="n"/>
      <c r="AY84" s="121" t="n"/>
      <c r="AZ84" s="121" t="n"/>
      <c r="BA84" s="121" t="n"/>
      <c r="BB84" s="121" t="n"/>
      <c r="BC84" s="121" t="n"/>
      <c r="BD84" s="121" t="n"/>
      <c r="BE84" s="121" t="n"/>
      <c r="BF84" s="121" t="n"/>
      <c r="BG84" s="124" t="n"/>
      <c r="BH84" s="121" t="n"/>
      <c r="BI84" s="121" t="n"/>
      <c r="BJ84" s="121" t="n"/>
      <c r="BK84" s="121" t="n"/>
      <c r="BL84" s="121" t="n"/>
      <c r="BM84" s="121" t="n"/>
      <c r="BN84" s="121" t="n"/>
      <c r="BO84" s="121" t="n"/>
      <c r="BP84" s="121" t="n"/>
    </row>
    <row r="85">
      <c r="B85" s="62" t="inlineStr">
        <is>
          <t>12.1</t>
        </is>
      </c>
      <c r="C85" s="63" t="inlineStr">
        <is>
          <t>버그 수정과 DoD·Alembic gate 최종 확인</t>
        </is>
      </c>
      <c r="D85" s="63" t="inlineStr">
        <is>
          <t>전체</t>
        </is>
      </c>
      <c r="E85" s="125" t="n">
        <v>46319</v>
      </c>
      <c r="F85" s="125" t="n">
        <v>46321</v>
      </c>
      <c r="G85" s="65">
        <f>DAYS360(E85,F85)</f>
        <v/>
      </c>
      <c r="H85" s="66" t="n">
        <v>0</v>
      </c>
      <c r="I85" s="67" t="n"/>
      <c r="J85" s="68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3" t="n"/>
      <c r="AS85" s="73" t="n"/>
      <c r="AT85" s="73" t="n"/>
      <c r="AU85" s="73" t="n"/>
      <c r="AV85" s="73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126" t="n"/>
      <c r="BH85" s="73" t="n"/>
      <c r="BI85" s="73" t="n"/>
      <c r="BJ85" s="73" t="n"/>
      <c r="BK85" s="73" t="n"/>
      <c r="BL85" s="73" t="n"/>
      <c r="BM85" s="73" t="n"/>
      <c r="BN85" s="73" t="n"/>
      <c r="BO85" s="73" t="n"/>
      <c r="BP85" s="77" t="n"/>
    </row>
    <row r="86">
      <c r="B86" s="62" t="inlineStr">
        <is>
          <t>12.2</t>
        </is>
      </c>
      <c r="C86" s="63" t="inlineStr">
        <is>
          <t>전체 산출물 패키징 및 제출</t>
        </is>
      </c>
      <c r="D86" s="63" t="inlineStr">
        <is>
          <t>전체</t>
        </is>
      </c>
      <c r="E86" s="125" t="n">
        <v>46319</v>
      </c>
      <c r="F86" s="125" t="n">
        <v>46321</v>
      </c>
      <c r="G86" s="65">
        <f>DAYS360(E86,F86)</f>
        <v/>
      </c>
      <c r="H86" s="66" t="n">
        <v>0</v>
      </c>
      <c r="I86" s="67" t="n"/>
      <c r="J86" s="68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  <c r="AM86" s="73" t="n"/>
      <c r="AN86" s="73" t="n"/>
      <c r="AO86" s="73" t="n"/>
      <c r="AP86" s="73" t="n"/>
      <c r="AQ86" s="73" t="n"/>
      <c r="AR86" s="73" t="n"/>
      <c r="AS86" s="73" t="n"/>
      <c r="AT86" s="73" t="n"/>
      <c r="AU86" s="73" t="n"/>
      <c r="AV86" s="73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126" t="n"/>
      <c r="BH86" s="73" t="n"/>
      <c r="BI86" s="73" t="n"/>
      <c r="BJ86" s="73" t="n"/>
      <c r="BK86" s="73" t="n"/>
      <c r="BL86" s="73" t="n"/>
      <c r="BM86" s="73" t="n"/>
      <c r="BN86" s="73" t="n"/>
      <c r="BO86" s="73" t="n"/>
      <c r="BP86" s="77" t="n"/>
    </row>
  </sheetData>
  <mergeCells count="34">
    <mergeCell ref="I9:M9"/>
    <mergeCell ref="B2:G2"/>
    <mergeCell ref="I5:O5"/>
    <mergeCell ref="BB8:BP8"/>
    <mergeCell ref="I4:O4"/>
    <mergeCell ref="D8:D10"/>
    <mergeCell ref="D5:G5"/>
    <mergeCell ref="O2:AG2"/>
    <mergeCell ref="AR9:AV9"/>
    <mergeCell ref="BL9:BP9"/>
    <mergeCell ref="AM9:AQ9"/>
    <mergeCell ref="P4:AB4"/>
    <mergeCell ref="I8:W8"/>
    <mergeCell ref="G8:G10"/>
    <mergeCell ref="H8:H10"/>
    <mergeCell ref="AW9:BA9"/>
    <mergeCell ref="AH9:AL9"/>
    <mergeCell ref="BG9:BK9"/>
    <mergeCell ref="E8:E10"/>
    <mergeCell ref="P5:AA5"/>
    <mergeCell ref="B8:B10"/>
    <mergeCell ref="AC9:AG9"/>
    <mergeCell ref="S9:W9"/>
    <mergeCell ref="AM8:BA8"/>
    <mergeCell ref="BB9:BF9"/>
    <mergeCell ref="N9:R9"/>
    <mergeCell ref="I2:N2"/>
    <mergeCell ref="B5:C5"/>
    <mergeCell ref="X9:AB9"/>
    <mergeCell ref="C8:C10"/>
    <mergeCell ref="X8:AL8"/>
    <mergeCell ref="B4:C4"/>
    <mergeCell ref="F8:F10"/>
    <mergeCell ref="D4:G4"/>
  </mergeCells>
  <conditionalFormatting sqref="H12:H18 H20:H35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2026-09-03T07:09:12Z</dcterms:created>
  <dcterms:modified xmlns:dcterms="http://purl.org/dc/terms/" xmlns:xsi="http://www.w3.org/2001/XMLSchema-instance" xsi:type="dcterms:W3CDTF">2026-09-03T07:09:12Z</dcterms:modified>
</cp:coreProperties>
</file>